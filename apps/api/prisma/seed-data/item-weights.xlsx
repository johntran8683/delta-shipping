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ltao365.sharepoint.com/sites/WarehouseLogistics/Shared Documents/"/>
    </mc:Choice>
  </mc:AlternateContent>
  <xr:revisionPtr revIDLastSave="0" documentId="8_{21F2E326-CF88-485C-8513-CAC3DEAB8194}" xr6:coauthVersionLast="47" xr6:coauthVersionMax="47" xr10:uidLastSave="{00000000-0000-0000-0000-000000000000}"/>
  <bookViews>
    <workbookView minimized="1" xWindow="1470" yWindow="1470" windowWidth="27015" windowHeight="13980" tabRatio="150" xr2:uid="{C225F64F-001A-493B-AA9E-D00DCC4E3AEE}"/>
  </bookViews>
  <sheets>
    <sheet name="Query11" sheetId="1" r:id="rId1"/>
  </sheets>
  <definedNames>
    <definedName name="_xlnm._FilterDatabase" localSheetId="0" hidden="1">Query11!$C$1:$C$859</definedName>
    <definedName name="_xlnm.Print_Area" localSheetId="0">Query11!$A$1:$E$666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8" i="1" l="1"/>
  <c r="H140" i="1"/>
  <c r="H138" i="1"/>
  <c r="H136" i="1"/>
  <c r="H133" i="1"/>
  <c r="H783" i="1"/>
  <c r="I809" i="1"/>
  <c r="I763" i="1"/>
  <c r="H175" i="1"/>
  <c r="I158" i="1"/>
  <c r="I65" i="1"/>
  <c r="J356" i="1"/>
  <c r="G752" i="1"/>
  <c r="I29" i="1"/>
  <c r="H98" i="1"/>
  <c r="H142" i="1"/>
</calcChain>
</file>

<file path=xl/sharedStrings.xml><?xml version="1.0" encoding="utf-8"?>
<sst xmlns="http://schemas.openxmlformats.org/spreadsheetml/2006/main" count="2668" uniqueCount="2404">
  <si>
    <t>Description</t>
  </si>
  <si>
    <t>Name</t>
  </si>
  <si>
    <t>ITEM #</t>
  </si>
  <si>
    <t>Weight</t>
  </si>
  <si>
    <t>GP</t>
  </si>
  <si>
    <t>Ogio Backpack</t>
  </si>
  <si>
    <t xml:space="preserve">CBL930-3  AMP 5pin to DB25 Female                                                                    </t>
  </si>
  <si>
    <t xml:space="preserve">CBL930-3       </t>
  </si>
  <si>
    <t xml:space="preserve">121059                         </t>
  </si>
  <si>
    <t xml:space="preserve">CBL930-1 PC Cable 3 Pin to DB25 (female)                                                             </t>
  </si>
  <si>
    <t xml:space="preserve">CBL930-1       </t>
  </si>
  <si>
    <t xml:space="preserve">121060                         </t>
  </si>
  <si>
    <t xml:space="preserve">CBL931-1 Modem Cable 5 Pin to DB25(male)                                                             </t>
  </si>
  <si>
    <t xml:space="preserve">CBL931-1       </t>
  </si>
  <si>
    <t xml:space="preserve">121061                         </t>
  </si>
  <si>
    <t>y</t>
  </si>
  <si>
    <t xml:space="preserve">CBL930-2 PC Cable 3 Pin to DB9(female)                                                               </t>
  </si>
  <si>
    <t xml:space="preserve">CBL930-2       </t>
  </si>
  <si>
    <t xml:space="preserve">121063                         </t>
  </si>
  <si>
    <t xml:space="preserve">CBL930-4 AMP 5 pin to DB9                                                                            </t>
  </si>
  <si>
    <t xml:space="preserve">CBL930-4       </t>
  </si>
  <si>
    <t xml:space="preserve">121065                         </t>
  </si>
  <si>
    <t xml:space="preserve">CBL931-3 DRC to Modem Cable-AMP to DB25 (male).                                                      </t>
  </si>
  <si>
    <t xml:space="preserve">CBL931-3       </t>
  </si>
  <si>
    <t xml:space="preserve">121066                         </t>
  </si>
  <si>
    <t xml:space="preserve">enteliBUS SuperCap Cable                                                                             </t>
  </si>
  <si>
    <t xml:space="preserve">eBSC-Cable     </t>
  </si>
  <si>
    <t xml:space="preserve">121095                         </t>
  </si>
  <si>
    <t xml:space="preserve">enteliBUS CAN Bus cable                                                                              </t>
  </si>
  <si>
    <t xml:space="preserve">               </t>
  </si>
  <si>
    <t xml:space="preserve">121097                         </t>
  </si>
  <si>
    <t xml:space="preserve">ICF011 Panel Firmware Upgrade Kit                                                                    </t>
  </si>
  <si>
    <t xml:space="preserve">ICF011         </t>
  </si>
  <si>
    <t xml:space="preserve">141010                         </t>
  </si>
  <si>
    <t xml:space="preserve">ICF016 Turbo Firmware Upgrade Kit                                                                    </t>
  </si>
  <si>
    <t xml:space="preserve">ICF016         </t>
  </si>
  <si>
    <t xml:space="preserve">141015                         </t>
  </si>
  <si>
    <t xml:space="preserve">ICF021 Mini Firmware Upgrade Kit                                                                     </t>
  </si>
  <si>
    <t xml:space="preserve">ICF021         </t>
  </si>
  <si>
    <t xml:space="preserve">141020                         </t>
  </si>
  <si>
    <t xml:space="preserve">ICF026 MiniTurbo Firmware Upgrade Kit                                                                </t>
  </si>
  <si>
    <t xml:space="preserve">ICF026         </t>
  </si>
  <si>
    <t xml:space="preserve">141025                         </t>
  </si>
  <si>
    <t xml:space="preserve">ICF031 Plus Firmware Upgrade Kit                                                                     </t>
  </si>
  <si>
    <t xml:space="preserve">ICF031         </t>
  </si>
  <si>
    <t xml:space="preserve">141030                         </t>
  </si>
  <si>
    <t xml:space="preserve">ICF041 Micro Firmware Upgrade Kit                                                                    </t>
  </si>
  <si>
    <t xml:space="preserve">ICF041         </t>
  </si>
  <si>
    <t xml:space="preserve">141040                         </t>
  </si>
  <si>
    <t xml:space="preserve">ICF206 Zone Firmware Upgrade Kit                                                                     </t>
  </si>
  <si>
    <t xml:space="preserve">ICF206         </t>
  </si>
  <si>
    <t xml:space="preserve">141206                         </t>
  </si>
  <si>
    <t xml:space="preserve">RPT768 Delta BACnet MS/TP Network Repeater                                                           </t>
  </si>
  <si>
    <t xml:space="preserve">RPT768         </t>
  </si>
  <si>
    <t xml:space="preserve">151768                         </t>
  </si>
  <si>
    <t xml:space="preserve">UL864-RPT-768  MS/TP Network Repeater                                                                </t>
  </si>
  <si>
    <t xml:space="preserve">UL864-RPT-768  </t>
  </si>
  <si>
    <t xml:space="preserve">151769                         </t>
  </si>
  <si>
    <t xml:space="preserve">UL864-TRM768  RS-485 LAN Terminator                                                                  </t>
  </si>
  <si>
    <t xml:space="preserve">UL864-TRM768   </t>
  </si>
  <si>
    <t xml:space="preserve">151923                         </t>
  </si>
  <si>
    <t xml:space="preserve">TRM768 BACnet MS/TP Network Terminator                                                               </t>
  </si>
  <si>
    <t xml:space="preserve">TRM768         </t>
  </si>
  <si>
    <t>n</t>
  </si>
  <si>
    <t xml:space="preserve">YRK-RPT                                                                                              </t>
  </si>
  <si>
    <t xml:space="preserve">YRK-RPT        </t>
  </si>
  <si>
    <t xml:space="preserve">152768                         </t>
  </si>
  <si>
    <t xml:space="preserve">DHMI-7-BOX   DHMI-7 Electrical box, for surface mount (conduit) and new/retrofit drywall flush mount </t>
  </si>
  <si>
    <t xml:space="preserve">DHMI-7-BOX     </t>
  </si>
  <si>
    <t xml:space="preserve">161700                         </t>
  </si>
  <si>
    <t xml:space="preserve">A9070001 - UPOR-HMI-7-BOX Metal Box For Touch Panel Interface                                        </t>
  </si>
  <si>
    <t xml:space="preserve">UPOR-HMI-7-BOX </t>
  </si>
  <si>
    <t xml:space="preserve">161701                         </t>
  </si>
  <si>
    <t xml:space="preserve">EXP110 8 Point DI Expansion Card                                                                     </t>
  </si>
  <si>
    <t xml:space="preserve">EXP110         </t>
  </si>
  <si>
    <t xml:space="preserve">171110                         </t>
  </si>
  <si>
    <t xml:space="preserve">EXP120 8 Point AI Expansion Card                                                                     </t>
  </si>
  <si>
    <t xml:space="preserve">EXP120         </t>
  </si>
  <si>
    <t xml:space="preserve">171120                         </t>
  </si>
  <si>
    <t xml:space="preserve">EXP125 8 Point AI 1000 Ohm RTD Card (DO NOT USE)                                                     </t>
  </si>
  <si>
    <t xml:space="preserve">EXP125         </t>
  </si>
  <si>
    <t xml:space="preserve">171125                         </t>
  </si>
  <si>
    <t xml:space="preserve">EXP130 16 Point Ip Expansion Card                                                                    </t>
  </si>
  <si>
    <t xml:space="preserve">EXP130         </t>
  </si>
  <si>
    <t xml:space="preserve">171130                         </t>
  </si>
  <si>
    <t xml:space="preserve">EXP140 16 Point DO Expansion Card                                                                    </t>
  </si>
  <si>
    <t xml:space="preserve">EXP140         </t>
  </si>
  <si>
    <t xml:space="preserve">171140                         </t>
  </si>
  <si>
    <t xml:space="preserve">EXP150 4 Point Ao Expansion Card 0-10V                                                               </t>
  </si>
  <si>
    <t xml:space="preserve">EXP150         </t>
  </si>
  <si>
    <t xml:space="preserve">171150                         </t>
  </si>
  <si>
    <t xml:space="preserve">EXP161 8 Point OP Expansion Card                                                                     </t>
  </si>
  <si>
    <t xml:space="preserve">EXP161         </t>
  </si>
  <si>
    <t xml:space="preserve">171161                         </t>
  </si>
  <si>
    <t xml:space="preserve">RTS401-1 2 Button Room Sensor                                                                        </t>
  </si>
  <si>
    <t xml:space="preserve">RTS401-1       </t>
  </si>
  <si>
    <t xml:space="preserve">171400                         </t>
  </si>
  <si>
    <t xml:space="preserve">RTS401-2 2 Button Room Sensor c/w H.J.                                                               </t>
  </si>
  <si>
    <t xml:space="preserve">RTS401-2       </t>
  </si>
  <si>
    <t xml:space="preserve">171401                         </t>
  </si>
  <si>
    <t xml:space="preserve">RTS402 Room Sensor                                                                                   </t>
  </si>
  <si>
    <t xml:space="preserve">RTS402         </t>
  </si>
  <si>
    <t xml:space="preserve">171402                         </t>
  </si>
  <si>
    <t xml:space="preserve">RTS402-2 4 Button Room Sensor c/w H.J.                                                               </t>
  </si>
  <si>
    <t xml:space="preserve">RTS402-2       </t>
  </si>
  <si>
    <t xml:space="preserve">171403                         </t>
  </si>
  <si>
    <t xml:space="preserve">RTS402-1 4 Button Room Sensor                                                                        </t>
  </si>
  <si>
    <t xml:space="preserve">RTS402-1       </t>
  </si>
  <si>
    <t xml:space="preserve">171404                         </t>
  </si>
  <si>
    <t xml:space="preserve">RTS400-1A C/W Switch                                                                                 </t>
  </si>
  <si>
    <t xml:space="preserve">RTS400-1A      </t>
  </si>
  <si>
    <t xml:space="preserve">171409                         </t>
  </si>
  <si>
    <t xml:space="preserve">RTS400-1 Room Sensor Blank Cover                                                                     </t>
  </si>
  <si>
    <t xml:space="preserve">RTS400-1       </t>
  </si>
  <si>
    <t xml:space="preserve">171410                         </t>
  </si>
  <si>
    <t xml:space="preserve">RTS400-2 Room Sensor Blank Cover c/w H.J                                                             </t>
  </si>
  <si>
    <t xml:space="preserve">RTS400-2       </t>
  </si>
  <si>
    <t xml:space="preserve">171420                         </t>
  </si>
  <si>
    <t xml:space="preserve">PWR710 Power Supply no isolation                                                                     </t>
  </si>
  <si>
    <t xml:space="preserve">PWR710         </t>
  </si>
  <si>
    <t xml:space="preserve">171710                         </t>
  </si>
  <si>
    <t xml:space="preserve">PWR711 Power Supply with isolation                                                                   </t>
  </si>
  <si>
    <t xml:space="preserve">PWR711         </t>
  </si>
  <si>
    <t xml:space="preserve">171711                         </t>
  </si>
  <si>
    <t xml:space="preserve">PWR712 Power Supply                                                                                  </t>
  </si>
  <si>
    <t xml:space="preserve">PWR712         </t>
  </si>
  <si>
    <t xml:space="preserve">171712                         </t>
  </si>
  <si>
    <t xml:space="preserve">PWR715 Power Supply (8/12 VDC)                                                                       </t>
  </si>
  <si>
    <t xml:space="preserve">PWR715         </t>
  </si>
  <si>
    <t xml:space="preserve">171715                         </t>
  </si>
  <si>
    <t xml:space="preserve">DFT740-A Differential PFT(Single Sensor)                                                             </t>
  </si>
  <si>
    <t xml:space="preserve">DFT740-A       </t>
  </si>
  <si>
    <t xml:space="preserve">171738                         </t>
  </si>
  <si>
    <t xml:space="preserve">DFT740-B Differential PFT(Two Sensors)                                                               </t>
  </si>
  <si>
    <t xml:space="preserve">DFT740-B       </t>
  </si>
  <si>
    <t xml:space="preserve">171739                         </t>
  </si>
  <si>
    <t xml:space="preserve">FTM746-BO 0-1 Low Range Pressure Sensor                                                              </t>
  </si>
  <si>
    <t xml:space="preserve">FTM746-B0      </t>
  </si>
  <si>
    <t xml:space="preserve">171750                         </t>
  </si>
  <si>
    <t xml:space="preserve">FTM746-B0-2 (0 to 2") Flow Transducer Module                                                         </t>
  </si>
  <si>
    <t xml:space="preserve">FTM746-B0-2    </t>
  </si>
  <si>
    <t xml:space="preserve">171762                         </t>
  </si>
  <si>
    <t xml:space="preserve">FTM746-B0-5 (0 - 5") Flow Transducer Module                                                          </t>
  </si>
  <si>
    <t xml:space="preserve">FTM746-B0-5    </t>
  </si>
  <si>
    <t xml:space="preserve">171763                         </t>
  </si>
  <si>
    <t xml:space="preserve">IUK780-3 RS485UpgradeKit (com.chip for V3 DCU/DSM)                                                   </t>
  </si>
  <si>
    <t xml:space="preserve">IUK780-3       </t>
  </si>
  <si>
    <t xml:space="preserve">171785                         </t>
  </si>
  <si>
    <t>MUX-D400-TRACK</t>
  </si>
  <si>
    <t xml:space="preserve">DDK861 Delta Demo Kit (Driver)                                                                       </t>
  </si>
  <si>
    <t xml:space="preserve">DDK861         </t>
  </si>
  <si>
    <t xml:space="preserve">191200                         </t>
  </si>
  <si>
    <t xml:space="preserve">DDK862 Delta Demo Kit (Driver) - International                                                       </t>
  </si>
  <si>
    <t xml:space="preserve">DDK862 INT.    </t>
  </si>
  <si>
    <t xml:space="preserve">191201                         </t>
  </si>
  <si>
    <t>DTD (24VAC Delta Training Device)</t>
  </si>
  <si>
    <t>DTD</t>
  </si>
  <si>
    <t xml:space="preserve">DTT970 Delta Term. Tool (Hndle Ass. &amp; Crimp Die)                                                     </t>
  </si>
  <si>
    <t xml:space="preserve">DTT970         </t>
  </si>
  <si>
    <t xml:space="preserve">191250                         </t>
  </si>
  <si>
    <t xml:space="preserve">ICK770-2 Intellicon 4.7K SIP Kit 10 pkg                                                              </t>
  </si>
  <si>
    <t xml:space="preserve">ICK770-2       </t>
  </si>
  <si>
    <t xml:space="preserve">194001                         </t>
  </si>
  <si>
    <t xml:space="preserve">ICK770-3 Intellicon 100K SIP Kit 10 pkg                                                              </t>
  </si>
  <si>
    <t xml:space="preserve">ICK770-3       </t>
  </si>
  <si>
    <t xml:space="preserve">194002                         </t>
  </si>
  <si>
    <t xml:space="preserve">ICK772-1 DCU/Turbo/Mini Panel 3A fuses (x10)                                                         </t>
  </si>
  <si>
    <t xml:space="preserve">ICK772-1       </t>
  </si>
  <si>
    <t xml:space="preserve">194005                         </t>
  </si>
  <si>
    <t xml:space="preserve">ICK772-2 Micro Panel 2A Fuses (x10)                                                                  </t>
  </si>
  <si>
    <t xml:space="preserve">ICK772-2       </t>
  </si>
  <si>
    <t xml:space="preserve">194006                         </t>
  </si>
  <si>
    <t xml:space="preserve">DTK971-2 RC Term. Kit (2-pin 18 Gauge Qty-10)                                                        </t>
  </si>
  <si>
    <t xml:space="preserve">DTK971-2       </t>
  </si>
  <si>
    <t xml:space="preserve">194250                         </t>
  </si>
  <si>
    <t xml:space="preserve">DTK971-4 RC Term. Kit (4-pin, 18 Gauge, 10 Qty)                                                      </t>
  </si>
  <si>
    <t xml:space="preserve">DTK971-4       </t>
  </si>
  <si>
    <t xml:space="preserve">194251                         </t>
  </si>
  <si>
    <t xml:space="preserve">DTK973-2 RC Term. Kit (2-pin, 24 Gauge, 10-Qty)                                                      </t>
  </si>
  <si>
    <t xml:space="preserve">DTK973-2       </t>
  </si>
  <si>
    <t xml:space="preserve">194252                         </t>
  </si>
  <si>
    <t xml:space="preserve">DTK972-5 RC Term. Kit (5-pin, 22 Gauge, 10-Qty)                                                      </t>
  </si>
  <si>
    <t xml:space="preserve">DTK972-5       </t>
  </si>
  <si>
    <t xml:space="preserve">194253                         </t>
  </si>
  <si>
    <t>eCORE-12VDC-Power-Supply-Kit (European) (CopperCube)</t>
  </si>
  <si>
    <t>eCORE-12VDC</t>
  </si>
  <si>
    <t>eCORE-12VDC-Power-Supply-Kit (North American) (CopperCube)</t>
  </si>
  <si>
    <t xml:space="preserve">IBK774-1B IntelliCon Battery Kit                                                                     </t>
  </si>
  <si>
    <t xml:space="preserve">IBK774-1B      </t>
  </si>
  <si>
    <t xml:space="preserve">194773                         </t>
  </si>
  <si>
    <t xml:space="preserve">IBK774-1A IntelliCon Battery Kit                                                                     </t>
  </si>
  <si>
    <t xml:space="preserve">IBK774-1A      </t>
  </si>
  <si>
    <t xml:space="preserve">194774                         </t>
  </si>
  <si>
    <t xml:space="preserve">IBK774-2 IntelliCon Battery Clip                                                                     </t>
  </si>
  <si>
    <t xml:space="preserve">IBK774-2       </t>
  </si>
  <si>
    <t xml:space="preserve">194775                         </t>
  </si>
  <si>
    <t xml:space="preserve">DJK799 Delta I/O Jumper Kit                                                                          </t>
  </si>
  <si>
    <t xml:space="preserve">DJK799         </t>
  </si>
  <si>
    <t xml:space="preserve">194799                         </t>
  </si>
  <si>
    <t xml:space="preserve">enteliZONE VFD Integration Module </t>
  </si>
  <si>
    <t xml:space="preserve">eZVFD </t>
  </si>
  <si>
    <t xml:space="preserve">CON-768 RS232 - RS485 Converter Service Tool                                                         </t>
  </si>
  <si>
    <t xml:space="preserve">CON-768        </t>
  </si>
  <si>
    <t xml:space="preserve">271768                         </t>
  </si>
  <si>
    <t xml:space="preserve">CON-768BT Bluetooth to MSTP Converter Service Tool                                                   </t>
  </si>
  <si>
    <t xml:space="preserve">CON-768BT      </t>
  </si>
  <si>
    <t xml:space="preserve">271769                         </t>
  </si>
  <si>
    <t>EnOcean Zone Gateway 32 devices, 868 MHz, (Europe)</t>
  </si>
  <si>
    <t xml:space="preserve">CON-ENOC-868 </t>
  </si>
  <si>
    <t>EnOcean Zone Gateway 32 devices, 902 MHz, (North America)</t>
  </si>
  <si>
    <t>CON-ENOC-902</t>
  </si>
  <si>
    <t xml:space="preserve">enteliBUS CAN Cable Kit                                                                              </t>
  </si>
  <si>
    <t xml:space="preserve">eB-CABLE       </t>
  </si>
  <si>
    <t xml:space="preserve">enteliBUS CAN Network Terminator                                                                     </t>
  </si>
  <si>
    <t xml:space="preserve">eB-TERM        </t>
  </si>
  <si>
    <t xml:space="preserve">272601                         </t>
  </si>
  <si>
    <t xml:space="preserve">enteliBUS Supercap Backup Module Service Replacement                                                 </t>
  </si>
  <si>
    <t xml:space="preserve">eB-BACKUP      </t>
  </si>
  <si>
    <t xml:space="preserve">272602                         </t>
  </si>
  <si>
    <t xml:space="preserve">enteliBUS 4 slot Controller Backplane Service Replacement                                            </t>
  </si>
  <si>
    <t xml:space="preserve">eBB-04-CON     </t>
  </si>
  <si>
    <t xml:space="preserve">272604                         </t>
  </si>
  <si>
    <t xml:space="preserve">enteliBUS 4 slot Expander Backplane Service Replacement                                              </t>
  </si>
  <si>
    <t xml:space="preserve">eBB-04-X       </t>
  </si>
  <si>
    <t xml:space="preserve">272605                         </t>
  </si>
  <si>
    <t xml:space="preserve">enteliBUS 8 slot Expander Backplane Service Replacement                                              </t>
  </si>
  <si>
    <t xml:space="preserve">eBB-08-X       </t>
  </si>
  <si>
    <t xml:space="preserve">272608                         </t>
  </si>
  <si>
    <t xml:space="preserve">DSM-050 Delta System Manager, No I/O capability (Sunset - V2 integration only)                       </t>
  </si>
  <si>
    <t xml:space="preserve">DSM-050        </t>
  </si>
  <si>
    <t xml:space="preserve">301050                         </t>
  </si>
  <si>
    <t xml:space="preserve">DSM-RTR BACNET Router                                                                                </t>
  </si>
  <si>
    <t xml:space="preserve">DSM-RTR        </t>
  </si>
  <si>
    <t xml:space="preserve">301124                         </t>
  </si>
  <si>
    <t xml:space="preserve">DSM-RTR-MOD30 (Enet,IP,MSTP,PTP Router w/x30MODGW)                                                   </t>
  </si>
  <si>
    <t xml:space="preserve">DSM-RTR-MOD30  </t>
  </si>
  <si>
    <t xml:space="preserve">301126                         </t>
  </si>
  <si>
    <t xml:space="preserve">DSM-RTR-CCI                                                                                          </t>
  </si>
  <si>
    <t xml:space="preserve">DSM-RTR-CCI    </t>
  </si>
  <si>
    <t xml:space="preserve">301127                         </t>
  </si>
  <si>
    <t>CopperCube-S</t>
  </si>
  <si>
    <t>CopperCubes</t>
  </si>
  <si>
    <t xml:space="preserve">YSM-RTR                                                                                              </t>
  </si>
  <si>
    <t xml:space="preserve">YSM-RTR        </t>
  </si>
  <si>
    <t xml:space="preserve">301224                         </t>
  </si>
  <si>
    <t xml:space="preserve">A9011000 - UPOR-DSM-RTR  Main Controller                                                             </t>
  </si>
  <si>
    <t xml:space="preserve">UPOR-DSM-RTR   </t>
  </si>
  <si>
    <t xml:space="preserve">301225                         </t>
  </si>
  <si>
    <t xml:space="preserve">TMSC-RT TMSC System Router                                                                           </t>
  </si>
  <si>
    <t xml:space="preserve">TMSC-RT        </t>
  </si>
  <si>
    <t xml:space="preserve">301235                         </t>
  </si>
  <si>
    <t xml:space="preserve">enteliBUS Manager - CPU/Comm                                                                         </t>
  </si>
  <si>
    <t xml:space="preserve">eBMGR          </t>
  </si>
  <si>
    <t xml:space="preserve">DSM-T0B-G1B (16 butt, Temp, Occ.&amp;Numeric Keys)                                                       </t>
  </si>
  <si>
    <t xml:space="preserve">DSM-T0B-G1B    </t>
  </si>
  <si>
    <t xml:space="preserve">304011                         </t>
  </si>
  <si>
    <t xml:space="preserve">DSM-T0B-G3A (8-Button,Temp,occ.&amp;time clock keys)                                                     </t>
  </si>
  <si>
    <t xml:space="preserve">DSM-T0B-G3A    </t>
  </si>
  <si>
    <t xml:space="preserve">304014                         </t>
  </si>
  <si>
    <t xml:space="preserve">DSM-T0B-K1A (16-Button, Numerical Keys)                                                              </t>
  </si>
  <si>
    <t xml:space="preserve">DSM-T0B-K1A    </t>
  </si>
  <si>
    <t xml:space="preserve">304016                         </t>
  </si>
  <si>
    <t xml:space="preserve">PDRC - Price RTU Controller                                                                          </t>
  </si>
  <si>
    <t xml:space="preserve">PDRC           </t>
  </si>
  <si>
    <t xml:space="preserve">304020                         </t>
  </si>
  <si>
    <t xml:space="preserve">DSM-T0B-MOD5-K1A (16butt,Tmp,Occ&amp;NumKeys x5MOD GW)                                                   </t>
  </si>
  <si>
    <t>DSM-T0BMOD5-K1A</t>
  </si>
  <si>
    <t xml:space="preserve">304516                         </t>
  </si>
  <si>
    <t xml:space="preserve">enteliBUS Manager - CPU/Comm with TouchScreen LCD                                                    </t>
  </si>
  <si>
    <t xml:space="preserve">eBMGR-TCH      </t>
  </si>
  <si>
    <t xml:space="preserve">304600                         </t>
  </si>
  <si>
    <t>enteliBUS System Controller w/Ethernet</t>
  </si>
  <si>
    <t xml:space="preserve">eBMGR-TCH-2 </t>
  </si>
  <si>
    <t xml:space="preserve">DSM-WRL Delta Wireless Interface                                                                     </t>
  </si>
  <si>
    <t xml:space="preserve">DSM-WRL        </t>
  </si>
  <si>
    <t xml:space="preserve">304900                         </t>
  </si>
  <si>
    <t xml:space="preserve">DSC-1616E  (16IP,16OP,c/w Enet &amp; HOA's,battery and RT clock)                                         </t>
  </si>
  <si>
    <t xml:space="preserve">DSC-1616E      </t>
  </si>
  <si>
    <t xml:space="preserve">311019                         </t>
  </si>
  <si>
    <t xml:space="preserve">DSC-1616E-CCI                                                                                        </t>
  </si>
  <si>
    <t xml:space="preserve">DSC-1616E-CCI  </t>
  </si>
  <si>
    <t xml:space="preserve">311021                         </t>
  </si>
  <si>
    <t xml:space="preserve">UL864-DSC-1616E V333 (16IP,16AO,battery and RT clock)                                                </t>
  </si>
  <si>
    <t>UL864-DSC-1616E</t>
  </si>
  <si>
    <t xml:space="preserve">311023                         </t>
  </si>
  <si>
    <t xml:space="preserve">DSC-1212E c/w Ethernet &amp; HOA's 12IP,12OP,battery and RT clock                                        </t>
  </si>
  <si>
    <t xml:space="preserve">DSC-1212E      </t>
  </si>
  <si>
    <t xml:space="preserve">311083                         </t>
  </si>
  <si>
    <t xml:space="preserve">DSC-1212E-CCI                                                                                        </t>
  </si>
  <si>
    <t xml:space="preserve">DSC-1212E-CCI  </t>
  </si>
  <si>
    <t xml:space="preserve">311084                         </t>
  </si>
  <si>
    <t xml:space="preserve">DSC-1146E Delta System Controller, Ethernet, 11 Inputs, 4 Analog Outputs, 6 Triac Outputs            </t>
  </si>
  <si>
    <t xml:space="preserve">DSC-1146E      </t>
  </si>
  <si>
    <t xml:space="preserve">311149                         </t>
  </si>
  <si>
    <t xml:space="preserve">DSC-1146E-CCI  Delta System Controller                                                               </t>
  </si>
  <si>
    <t xml:space="preserve">DSC-1146E-CCI  </t>
  </si>
  <si>
    <t xml:space="preserve">311150                         </t>
  </si>
  <si>
    <t xml:space="preserve">DSC-1180E Delta System Controller, Ethernet, 11 Inputs, 8 Analog Outputs                             </t>
  </si>
  <si>
    <t xml:space="preserve">DSC-1180E      </t>
  </si>
  <si>
    <t xml:space="preserve">311183                         </t>
  </si>
  <si>
    <t xml:space="preserve">enteliBUS System Controller w/Ethernet </t>
  </si>
  <si>
    <t>eBCON-2</t>
  </si>
  <si>
    <t xml:space="preserve">enteliBUS Controller plus 4 slot Controller Backplane                                                </t>
  </si>
  <si>
    <t xml:space="preserve">eBCON          </t>
  </si>
  <si>
    <t xml:space="preserve">311600                         </t>
  </si>
  <si>
    <t xml:space="preserve">enteliBUS Expander plus 4 slot Expander Backplane                                                    </t>
  </si>
  <si>
    <t xml:space="preserve">eBX-04         </t>
  </si>
  <si>
    <t xml:space="preserve">311601                         </t>
  </si>
  <si>
    <t xml:space="preserve">enteliBUS Expander plus 8 slot Expander Backplane                                                    </t>
  </si>
  <si>
    <t xml:space="preserve">eBX-08         </t>
  </si>
  <si>
    <t xml:space="preserve">311602                         </t>
  </si>
  <si>
    <t>Room Controller (Dual Port Eth, 3 serial ports, Bluetooth, NFC)</t>
  </si>
  <si>
    <t>O3-DIN-CPU</t>
  </si>
  <si>
    <t xml:space="preserve">Single Room Controller </t>
  </si>
  <si>
    <t>O3-DIN-SRC</t>
  </si>
  <si>
    <t xml:space="preserve">Multi-Room Controller (Dual Port Eth, 3 serial ports, </t>
  </si>
  <si>
    <t>Red5-PLUS-ROOM</t>
  </si>
  <si>
    <t xml:space="preserve">Single Room Controller (MSTP,CAT5,DC Pwr Out, </t>
  </si>
  <si>
    <t>Red5-EDGE-ROOM</t>
  </si>
  <si>
    <t>Controller</t>
  </si>
  <si>
    <t>Red5-PLUS-1146</t>
  </si>
  <si>
    <t>Red5-PLUS-1180</t>
  </si>
  <si>
    <t xml:space="preserve">DSC-304E                                                                                             </t>
  </si>
  <si>
    <t xml:space="preserve">DSC-304E       </t>
  </si>
  <si>
    <t xml:space="preserve">312305                         </t>
  </si>
  <si>
    <t xml:space="preserve">DSC-322E                                                                                             </t>
  </si>
  <si>
    <t xml:space="preserve">DSC-322E       </t>
  </si>
  <si>
    <t xml:space="preserve">312323                         </t>
  </si>
  <si>
    <t xml:space="preserve">UL864-DSC-606 V3.33  (6IP,6BO, Battery and RT clock)                                                 </t>
  </si>
  <si>
    <t xml:space="preserve">UL864-DSC-606  </t>
  </si>
  <si>
    <t xml:space="preserve">312618                         </t>
  </si>
  <si>
    <t xml:space="preserve">DSC-606E Delta System Controller, Ethernet, 6 Inputs, 6 Triac Outputs                                </t>
  </si>
  <si>
    <t xml:space="preserve">DSC-606E       </t>
  </si>
  <si>
    <t xml:space="preserve">312619                         </t>
  </si>
  <si>
    <t xml:space="preserve">UL864-DSC-633 V3.33 (6IP,3AO,3BO,Battery and RT clock)                                               </t>
  </si>
  <si>
    <t xml:space="preserve">UL864-DSC-633  </t>
  </si>
  <si>
    <t xml:space="preserve">312645                         </t>
  </si>
  <si>
    <t xml:space="preserve">DSC-633E Delta System Controller, Ethernet, 6 Inputs, 3 Analog Outputs, 3 Triac Outputs              </t>
  </si>
  <si>
    <t xml:space="preserve">DSC-633E       </t>
  </si>
  <si>
    <t xml:space="preserve">312646                         </t>
  </si>
  <si>
    <t xml:space="preserve">DSC-633E-CCI                                                                                         </t>
  </si>
  <si>
    <t xml:space="preserve">DSC-633E-CCI   </t>
  </si>
  <si>
    <t xml:space="preserve">312647                         </t>
  </si>
  <si>
    <t xml:space="preserve">DSC-T305B-G1B (16-button,Temp,Occ &amp; Numeric Keys)                                                    </t>
  </si>
  <si>
    <t xml:space="preserve">DSC-T305B-G1B  </t>
  </si>
  <si>
    <t xml:space="preserve">314361                         </t>
  </si>
  <si>
    <t xml:space="preserve">DSC-T305B-G3A (8-button,Temp,Occ,&amp;Time Clock Keys)                                                   </t>
  </si>
  <si>
    <t xml:space="preserve">DSC-T305B-G3A  </t>
  </si>
  <si>
    <t xml:space="preserve">314364                         </t>
  </si>
  <si>
    <t xml:space="preserve">DSC-T305B-ECC (RC,1Therm,3IP,5BO,RS-232/485,Subnt,                                                   </t>
  </si>
  <si>
    <t xml:space="preserve">DSC-T305B-ECC  </t>
  </si>
  <si>
    <t xml:space="preserve">314367                         </t>
  </si>
  <si>
    <t xml:space="preserve">DSC-T305B-FH1                                                                                        </t>
  </si>
  <si>
    <t xml:space="preserve">DSC-T305B-FH1  </t>
  </si>
  <si>
    <t xml:space="preserve">314368                         </t>
  </si>
  <si>
    <t xml:space="preserve">DSC-T305B-VM1 (16-buttonTemp,Occ,Timeclck&amp;NumKeys)                                                   </t>
  </si>
  <si>
    <t xml:space="preserve">DSC-T305B-VM1  </t>
  </si>
  <si>
    <t xml:space="preserve">314369                         </t>
  </si>
  <si>
    <t xml:space="preserve">DSC-T305B-SMI                                                                                        </t>
  </si>
  <si>
    <t xml:space="preserve">DSC-T305B-SMI  </t>
  </si>
  <si>
    <t xml:space="preserve">314370                         </t>
  </si>
  <si>
    <t xml:space="preserve">DSC-T305B-SCS                                                                                        </t>
  </si>
  <si>
    <t xml:space="preserve">DSC-T305B-SCS  </t>
  </si>
  <si>
    <t xml:space="preserve">314371                         </t>
  </si>
  <si>
    <t xml:space="preserve">DSC-T305B-DUR                                                                                        </t>
  </si>
  <si>
    <t xml:space="preserve">DSC-T305B-DUR  </t>
  </si>
  <si>
    <t xml:space="preserve">314372                         </t>
  </si>
  <si>
    <t xml:space="preserve">DSC-T305B-EI                                                                                         </t>
  </si>
  <si>
    <t xml:space="preserve">DSC-T305B-EI   </t>
  </si>
  <si>
    <t xml:space="preserve">314373                         </t>
  </si>
  <si>
    <t xml:space="preserve">A8020000 - UPOR-3216-CCM Uponor 3216 CCM Controller                                                  </t>
  </si>
  <si>
    <t xml:space="preserve">UPOR-3216-CCM  </t>
  </si>
  <si>
    <t xml:space="preserve">320316                         </t>
  </si>
  <si>
    <t xml:space="preserve">A8110001-UPOR-3216-CCMR Uponor Replacement CCM                                                       </t>
  </si>
  <si>
    <t xml:space="preserve">UPOR-3216-CCMR </t>
  </si>
  <si>
    <t xml:space="preserve">320317                         </t>
  </si>
  <si>
    <t xml:space="preserve">A9012000 - UPOR-M4816-PEC Primary Equipment Controller                                               </t>
  </si>
  <si>
    <t xml:space="preserve">UPOR-M4816-PEC </t>
  </si>
  <si>
    <t xml:space="preserve">320416                         </t>
  </si>
  <si>
    <t xml:space="preserve">A9013000 - UPOR-M4816-SWT   Supply Water Temp. Controller                                            </t>
  </si>
  <si>
    <t xml:space="preserve">UPOR-M4816-SWT </t>
  </si>
  <si>
    <t xml:space="preserve">320417                         </t>
  </si>
  <si>
    <t xml:space="preserve">A9014000 - UPOR-M4816-ZPC    Zone Pump Controller                                                    </t>
  </si>
  <si>
    <t xml:space="preserve">UPOR-M4816-ZPC </t>
  </si>
  <si>
    <t xml:space="preserve">320418                         </t>
  </si>
  <si>
    <t xml:space="preserve">TMSC-CC1-M4816 TMSC Comfort Controller 1                                                             </t>
  </si>
  <si>
    <t xml:space="preserve">TMSC-CC1-M4816 </t>
  </si>
  <si>
    <t xml:space="preserve">320425                         </t>
  </si>
  <si>
    <t xml:space="preserve">TMSC-CC2-M4816 TMSC Comfort Controller 2                                                             </t>
  </si>
  <si>
    <t xml:space="preserve">TMSC-CC2-M4816 </t>
  </si>
  <si>
    <t xml:space="preserve">320426                         </t>
  </si>
  <si>
    <t xml:space="preserve">TMSC-CC3-M4816 TMSC Comfort Controller 3                                                             </t>
  </si>
  <si>
    <t xml:space="preserve">TMSC-CC3-M4816 </t>
  </si>
  <si>
    <t xml:space="preserve">320427                         </t>
  </si>
  <si>
    <t xml:space="preserve">TMSC-CC4-M4816 TMSC Comfort Controller 4                                                             </t>
  </si>
  <si>
    <t xml:space="preserve">TMSC-CC4-M4816 </t>
  </si>
  <si>
    <t xml:space="preserve">320428                         </t>
  </si>
  <si>
    <t xml:space="preserve">A9011500 - UPOR-R1020   Zone Controller (DZCM)                                                       </t>
  </si>
  <si>
    <t xml:space="preserve">UPOR-R1020     </t>
  </si>
  <si>
    <t xml:space="preserve">321020                         </t>
  </si>
  <si>
    <t xml:space="preserve">DAC-1146 -11 IP, 4 AO, 6 BO, MS/TP                                                                   </t>
  </si>
  <si>
    <t xml:space="preserve">DAC-1146       </t>
  </si>
  <si>
    <t xml:space="preserve">321146                         </t>
  </si>
  <si>
    <t xml:space="preserve">DAC-1146E                                                                                            </t>
  </si>
  <si>
    <t xml:space="preserve">DAC-1146E      </t>
  </si>
  <si>
    <t xml:space="preserve">321147                         </t>
  </si>
  <si>
    <t xml:space="preserve">DAC-1146-CCI                                                                                         </t>
  </si>
  <si>
    <t xml:space="preserve">DAC-1146-CCI   </t>
  </si>
  <si>
    <t xml:space="preserve">321148                         </t>
  </si>
  <si>
    <t xml:space="preserve"> Ethernet Application Controller w/ 8x DFM support </t>
  </si>
  <si>
    <t>DAC-1146E-X8</t>
  </si>
  <si>
    <t xml:space="preserve">DAC-1180  -11 Inputs, 8 Analog Outputs, MS/TP                                                        </t>
  </si>
  <si>
    <t xml:space="preserve">DAC-1180       </t>
  </si>
  <si>
    <t xml:space="preserve">321180                         </t>
  </si>
  <si>
    <t xml:space="preserve">DAC-1180E                                                                                            </t>
  </si>
  <si>
    <t xml:space="preserve">DAC-1180E      </t>
  </si>
  <si>
    <t xml:space="preserve">321181                         </t>
  </si>
  <si>
    <t xml:space="preserve"> Ethernet Application Controller w/ 8x DFM support</t>
  </si>
  <si>
    <t>DAC-1180E-X8</t>
  </si>
  <si>
    <t xml:space="preserve">DAC-1600  (16 Input Application Controller)                                                          </t>
  </si>
  <si>
    <t xml:space="preserve">DAC-1600       </t>
  </si>
  <si>
    <t xml:space="preserve">321600                         </t>
  </si>
  <si>
    <t xml:space="preserve">UL864-DAC-1600  V3.33 Delta Application Controller 16IP                                              </t>
  </si>
  <si>
    <t xml:space="preserve">UL864-DAC-1600 </t>
  </si>
  <si>
    <t xml:space="preserve">321604                         </t>
  </si>
  <si>
    <t xml:space="preserve">Red5-EDGE-1146 </t>
  </si>
  <si>
    <t>Red5-EDGE-1180</t>
  </si>
  <si>
    <t xml:space="preserve">Red5-EDGE-606 </t>
  </si>
  <si>
    <t xml:space="preserve">DAC-606 R3  6 Inputs, 6 Binary Triac Outputs,MS/TP                                                   </t>
  </si>
  <si>
    <t xml:space="preserve">DAC-606 R3     </t>
  </si>
  <si>
    <t xml:space="preserve">322616                         </t>
  </si>
  <si>
    <t xml:space="preserve">DAC-606-MOD5 (Do Not Use) (341110)                                                                   </t>
  </si>
  <si>
    <t xml:space="preserve">DAC-606-MOD5   </t>
  </si>
  <si>
    <t xml:space="preserve">322617                         </t>
  </si>
  <si>
    <t xml:space="preserve">UL864-DAC-606 V3.33 Delta Application Controller 6IP,6BO                                             </t>
  </si>
  <si>
    <t xml:space="preserve">UL864-DAC-606  </t>
  </si>
  <si>
    <t xml:space="preserve">322618                         </t>
  </si>
  <si>
    <t xml:space="preserve">DAC-606E                                                                                             </t>
  </si>
  <si>
    <t xml:space="preserve">DAC-606E       </t>
  </si>
  <si>
    <t xml:space="preserve">322619                         </t>
  </si>
  <si>
    <t xml:space="preserve">DAC-606-CCI  6 Inputs, 6 Binary Triac Outputs,MS/TP                                                  </t>
  </si>
  <si>
    <t xml:space="preserve">DAC-606-CCI    </t>
  </si>
  <si>
    <t xml:space="preserve">322620                         </t>
  </si>
  <si>
    <t xml:space="preserve">Ethernet Application Controller w/ 8x DFM support </t>
  </si>
  <si>
    <t>DAC-606E-X8</t>
  </si>
  <si>
    <t>Red5-EDGE-634</t>
  </si>
  <si>
    <t>DAC-633E-X8</t>
  </si>
  <si>
    <t xml:space="preserve">DAC-633-CCI                                                                                          </t>
  </si>
  <si>
    <t xml:space="preserve">DAC-633-CCI    </t>
  </si>
  <si>
    <t xml:space="preserve">322642                         </t>
  </si>
  <si>
    <t xml:space="preserve">DAC-633 R3  -6IP, 3AO, 3BO, MS/TP                                                                    </t>
  </si>
  <si>
    <t xml:space="preserve">DAC-633 R3     </t>
  </si>
  <si>
    <t xml:space="preserve">322643                         </t>
  </si>
  <si>
    <t xml:space="preserve">UL864-DAC-633 V3.33 Delta App. Cont. 6IP, 3AO, 3BO                                                   </t>
  </si>
  <si>
    <t xml:space="preserve">UL864-DAC-633  </t>
  </si>
  <si>
    <t xml:space="preserve">322645                         </t>
  </si>
  <si>
    <t xml:space="preserve">DAC-633E                                                                                             </t>
  </si>
  <si>
    <t xml:space="preserve">DAC-633E       </t>
  </si>
  <si>
    <t xml:space="preserve">322646                         </t>
  </si>
  <si>
    <t>Application Controller w/PoE</t>
  </si>
  <si>
    <t>DAC-633-POE</t>
  </si>
  <si>
    <t xml:space="preserve">DFC-304R3-240 (FANCOIL)                                                                              </t>
  </si>
  <si>
    <t xml:space="preserve">DFC-304R3-240  </t>
  </si>
  <si>
    <t xml:space="preserve">323049                         </t>
  </si>
  <si>
    <t xml:space="preserve">DAC-304 R3  -3 Inputs,4 Binary Triac Outputs,MS/TP                                                   </t>
  </si>
  <si>
    <t xml:space="preserve">DAC-304 R3     </t>
  </si>
  <si>
    <t xml:space="preserve">323053                         </t>
  </si>
  <si>
    <t xml:space="preserve">DAC-304-CCI                                                                                          </t>
  </si>
  <si>
    <t xml:space="preserve">DAC-304-CCI    </t>
  </si>
  <si>
    <t xml:space="preserve">323054                         </t>
  </si>
  <si>
    <t xml:space="preserve">DAC-304E                                                                                             </t>
  </si>
  <si>
    <t xml:space="preserve">DAC-304E       </t>
  </si>
  <si>
    <t xml:space="preserve">323056                         </t>
  </si>
  <si>
    <t xml:space="preserve">DAC-322E                                                                                             </t>
  </si>
  <si>
    <t xml:space="preserve">DAC-322E       </t>
  </si>
  <si>
    <t xml:space="preserve">323219                         </t>
  </si>
  <si>
    <t xml:space="preserve">DAC-322-MOD (OEM)                                                                                    </t>
  </si>
  <si>
    <t xml:space="preserve">DAC-322-MOD    </t>
  </si>
  <si>
    <t xml:space="preserve">323228                         </t>
  </si>
  <si>
    <t xml:space="preserve">DAC-322 R3   -3 IP, 2 AO,2 BO, MS/TP                                                                 </t>
  </si>
  <si>
    <t xml:space="preserve">DAC-322 R3     </t>
  </si>
  <si>
    <t xml:space="preserve">323230                         </t>
  </si>
  <si>
    <t xml:space="preserve">DAC-322-MOD-MSD                                                                                      </t>
  </si>
  <si>
    <t>DAC-322-MOD-MSD</t>
  </si>
  <si>
    <t xml:space="preserve">323231                         </t>
  </si>
  <si>
    <t xml:space="preserve">DAC-322-MOD-GE                                                                                       </t>
  </si>
  <si>
    <t xml:space="preserve">DAC-322-MOD-GE </t>
  </si>
  <si>
    <t xml:space="preserve">323233                         </t>
  </si>
  <si>
    <t xml:space="preserve">DAC-322-MOD-YSD  (UUX000373)                                                                         </t>
  </si>
  <si>
    <t>DAC-322-MOD-YSD</t>
  </si>
  <si>
    <t xml:space="preserve">323234                         </t>
  </si>
  <si>
    <t xml:space="preserve">DFC-322R3-240 (FANCOIL)                                                                              </t>
  </si>
  <si>
    <t xml:space="preserve">DFC-322R3-240  </t>
  </si>
  <si>
    <t xml:space="preserve">323236                         </t>
  </si>
  <si>
    <t>enteliZONE Controller</t>
  </si>
  <si>
    <t>eZ-440R4-230</t>
  </si>
  <si>
    <t xml:space="preserve">eZP-440R4-230 </t>
  </si>
  <si>
    <t xml:space="preserve">DAC-T305-G1A (4-button;Temp &amp; Occupancy keys)                                                        </t>
  </si>
  <si>
    <t xml:space="preserve">DAC-T305-G1A   </t>
  </si>
  <si>
    <t xml:space="preserve">324350                         </t>
  </si>
  <si>
    <t xml:space="preserve">DAC-T305-G2A (8-Button,Temp,Occupancy &amp; Fan Keys)                                                    </t>
  </si>
  <si>
    <t xml:space="preserve">DAC-T305-G2A   </t>
  </si>
  <si>
    <t xml:space="preserve">324352                         </t>
  </si>
  <si>
    <t xml:space="preserve">DAC-T305-G3A (8-Button,Temp,Occ &amp; Time Clock Keys)                                                   </t>
  </si>
  <si>
    <t xml:space="preserve">DAC-T305-G3A   </t>
  </si>
  <si>
    <t xml:space="preserve">324354                         </t>
  </si>
  <si>
    <t xml:space="preserve">DAC-T305-DUR                                                                                         </t>
  </si>
  <si>
    <t xml:space="preserve">DAC-T305-DUR   </t>
  </si>
  <si>
    <t xml:space="preserve">324382                         </t>
  </si>
  <si>
    <t xml:space="preserve">GE-1600R (10093057P1)                                                                                </t>
  </si>
  <si>
    <t xml:space="preserve">GE-1600R       </t>
  </si>
  <si>
    <t xml:space="preserve">325000                         </t>
  </si>
  <si>
    <t xml:space="preserve">GE-1642 (10092046P1)                                                                                 </t>
  </si>
  <si>
    <t xml:space="preserve">GE-1642        </t>
  </si>
  <si>
    <t xml:space="preserve">325004                         </t>
  </si>
  <si>
    <t xml:space="preserve">GE-1642E (10092046P2)                                                                                </t>
  </si>
  <si>
    <t xml:space="preserve">GE-1642E       </t>
  </si>
  <si>
    <t xml:space="preserve">325005                         </t>
  </si>
  <si>
    <t xml:space="preserve">GE-Keypad (10093077G1)                                                                               </t>
  </si>
  <si>
    <t xml:space="preserve">GE-Keypad      </t>
  </si>
  <si>
    <t xml:space="preserve">325006                         </t>
  </si>
  <si>
    <t xml:space="preserve">GE-880 (10093058P1)                                                                                  </t>
  </si>
  <si>
    <t xml:space="preserve">GE-880         </t>
  </si>
  <si>
    <t xml:space="preserve">325007                         </t>
  </si>
  <si>
    <t xml:space="preserve">GE OWS332 (10094242P4)                                                                               </t>
  </si>
  <si>
    <t xml:space="preserve">GE OWS332      </t>
  </si>
  <si>
    <t xml:space="preserve">325008                         </t>
  </si>
  <si>
    <t xml:space="preserve">DLC-G1212 GE Relay Lighting Controller                                                               </t>
  </si>
  <si>
    <t xml:space="preserve">DLC-G1212      </t>
  </si>
  <si>
    <t xml:space="preserve">325012                         </t>
  </si>
  <si>
    <t xml:space="preserve">DLC-P704 - 4 Panasonic OPs, 1 Universal IP, 6 Binary IPs, Sweep On/Off, RTC and Battery              </t>
  </si>
  <si>
    <t xml:space="preserve">DLC-P704       </t>
  </si>
  <si>
    <t xml:space="preserve">325100                         </t>
  </si>
  <si>
    <t xml:space="preserve">DLC-P1008 8 Panasonic OPs, 1 Universal IP, 9 Binary IPs, Sweep On/Off, RTC and battery               </t>
  </si>
  <si>
    <t xml:space="preserve">DLC-P1008      </t>
  </si>
  <si>
    <t xml:space="preserve">325101                         </t>
  </si>
  <si>
    <t xml:space="preserve">DLC-P1012 12 Panasonic OPs, 1 Universal IP, 9 Binary IPs, Sweep On/Off, RTC and battery_x000D_             </t>
  </si>
  <si>
    <t xml:space="preserve">DLC-P1012      </t>
  </si>
  <si>
    <t xml:space="preserve">325102                         </t>
  </si>
  <si>
    <t xml:space="preserve">DLC-P1024 24 Panasonic OPs, 1 Universal IP, 9 Binary IPs, Sweep On/Off, RTC and battery              </t>
  </si>
  <si>
    <t xml:space="preserve">DLC-P1024      </t>
  </si>
  <si>
    <t xml:space="preserve">325103                         </t>
  </si>
  <si>
    <t xml:space="preserve">DLC-P1036 36 Panasonic OPs, 1 Universal IP, 9 Binary IPs, Sweep On/Off, RTC and battery              </t>
  </si>
  <si>
    <t xml:space="preserve">DLC-P1036      </t>
  </si>
  <si>
    <t xml:space="preserve">325104                         </t>
  </si>
  <si>
    <t xml:space="preserve">DLC-P704E                                                                                            </t>
  </si>
  <si>
    <t xml:space="preserve">DLC-P704E      </t>
  </si>
  <si>
    <t xml:space="preserve">325105                         </t>
  </si>
  <si>
    <t xml:space="preserve">DLC-P1008E                                                                                           </t>
  </si>
  <si>
    <t xml:space="preserve">DLC-P1008E     </t>
  </si>
  <si>
    <t xml:space="preserve">325106                         </t>
  </si>
  <si>
    <t xml:space="preserve">DLC-P1012E                                                                                           </t>
  </si>
  <si>
    <t xml:space="preserve">DLC-P1012E     </t>
  </si>
  <si>
    <t xml:space="preserve">325107                         </t>
  </si>
  <si>
    <t xml:space="preserve">DLC-P1024E                                                                                           </t>
  </si>
  <si>
    <t xml:space="preserve">DLC-P1024E     </t>
  </si>
  <si>
    <t xml:space="preserve">325108                         </t>
  </si>
  <si>
    <t xml:space="preserve">DLC-P1036E                                                                                           </t>
  </si>
  <si>
    <t xml:space="preserve">DLC-P1036E     </t>
  </si>
  <si>
    <t xml:space="preserve">325109                         </t>
  </si>
  <si>
    <t xml:space="preserve">DTM-VAV-DG1  (No Actuator, DG1 Termination Module)                                                   </t>
  </si>
  <si>
    <t xml:space="preserve">DTM-VAV-DG1    </t>
  </si>
  <si>
    <t xml:space="preserve">331035                         </t>
  </si>
  <si>
    <t xml:space="preserve">DNT-VAV-DG1-A (Siemens Act. DG1Term.Mod, DNT-T103)                                                   </t>
  </si>
  <si>
    <t xml:space="preserve">DNT-VAV-DG1-A  </t>
  </si>
  <si>
    <t xml:space="preserve">331036                         </t>
  </si>
  <si>
    <t xml:space="preserve">DTM-VAV-DG1-A  (Siemens Act. DG1 Termination Mod.)                                                   </t>
  </si>
  <si>
    <t xml:space="preserve">DTM-VAV-DG1-A  </t>
  </si>
  <si>
    <t xml:space="preserve">331039                         </t>
  </si>
  <si>
    <t xml:space="preserve">DTM-VAV-DG1-AF (Siemens Act. DG1 Termination Mod.)                                                   </t>
  </si>
  <si>
    <t xml:space="preserve">DTM-VAV-DG1-AF </t>
  </si>
  <si>
    <t xml:space="preserve">331040                         </t>
  </si>
  <si>
    <t xml:space="preserve">DNT-VAV-DG1-A-B (Belimo Act. DG1 Module, DNT-T103)                                                   </t>
  </si>
  <si>
    <t>DNT-VAV-DG1-A-B</t>
  </si>
  <si>
    <t xml:space="preserve">331136                         </t>
  </si>
  <si>
    <t xml:space="preserve">DTM-VAV-DG1-A-B (Belimo Act. DG1 Termination Mod.)                                                   </t>
  </si>
  <si>
    <t>DTM-VAV-DG1-A-B</t>
  </si>
  <si>
    <t xml:space="preserve">DTM-VAV-DG1-AF-B (Belimo Act. DG1 Termination Mod.)                                                  </t>
  </si>
  <si>
    <t>DTM-VAV-DG1-AFB</t>
  </si>
  <si>
    <t xml:space="preserve">331140                         </t>
  </si>
  <si>
    <t xml:space="preserve">DST-VVT  Stat, Termination Board w/o actuator                                                        </t>
  </si>
  <si>
    <t xml:space="preserve">DST-VVT        </t>
  </si>
  <si>
    <t xml:space="preserve">331199                         </t>
  </si>
  <si>
    <t xml:space="preserve">DST-VVT-A  Stat, Termination Board w-Siemans Act.                                                    </t>
  </si>
  <si>
    <t xml:space="preserve">DST-VVT-A      </t>
  </si>
  <si>
    <t xml:space="preserve">331200                         </t>
  </si>
  <si>
    <t xml:space="preserve">DST-T240-VVT Thermostat w-VVT Algorithm                                                              </t>
  </si>
  <si>
    <t xml:space="preserve">DST-T240-VVT   </t>
  </si>
  <si>
    <t xml:space="preserve">331201                         </t>
  </si>
  <si>
    <t xml:space="preserve">DTM-VVT Termination Board w-o Actuator                                                               </t>
  </si>
  <si>
    <t xml:space="preserve">DTM-VVT        </t>
  </si>
  <si>
    <t xml:space="preserve">331203                         </t>
  </si>
  <si>
    <t xml:space="preserve">DTM-VVT-A Termination Board w- Siemans Actuator                                                      </t>
  </si>
  <si>
    <t xml:space="preserve">DTM-VVT-A      </t>
  </si>
  <si>
    <t xml:space="preserve">331204                         </t>
  </si>
  <si>
    <t xml:space="preserve">DST-VVT-A-B Stat, Termination Board w- Belimo Act.                                                   </t>
  </si>
  <si>
    <t xml:space="preserve">DST-VVT-A-B    </t>
  </si>
  <si>
    <t xml:space="preserve">331210                         </t>
  </si>
  <si>
    <t xml:space="preserve">DTM-VVT-A-B Termination Board w- Belimo Actuator                                                     </t>
  </si>
  <si>
    <t xml:space="preserve">DTM-VVT-A-B    </t>
  </si>
  <si>
    <t xml:space="preserve">331211                         </t>
  </si>
  <si>
    <t xml:space="preserve">DST-VVT-RTU Stat&amp;Termination Board w/o actuator                                                      </t>
  </si>
  <si>
    <t xml:space="preserve">DST-VVT-RTU    </t>
  </si>
  <si>
    <t xml:space="preserve">331219                         </t>
  </si>
  <si>
    <t xml:space="preserve">DST-VVT-RTU-A Stat&amp;Termination Board w-Siemans Act                                                   </t>
  </si>
  <si>
    <t xml:space="preserve">DST-VVT-RTU-A  </t>
  </si>
  <si>
    <t xml:space="preserve">331220                         </t>
  </si>
  <si>
    <t xml:space="preserve">DTM-VVT-RTU Termination Board w-o Actuator                                                           </t>
  </si>
  <si>
    <t xml:space="preserve">DTM-VVT-RTU    </t>
  </si>
  <si>
    <t xml:space="preserve">331221                         </t>
  </si>
  <si>
    <t xml:space="preserve">DTM-VVT-RTU-A Termination Board w- Siemans Act                                                       </t>
  </si>
  <si>
    <t xml:space="preserve">DTM-VVT-RTU-A  </t>
  </si>
  <si>
    <t xml:space="preserve">331222                         </t>
  </si>
  <si>
    <t xml:space="preserve">DST-VVT-RTU-A-B Stat&amp;TerminationBrd w- Belimo Act.                                                   </t>
  </si>
  <si>
    <t>DST-VVT-RTU-A-B</t>
  </si>
  <si>
    <t xml:space="preserve">331230                         </t>
  </si>
  <si>
    <t xml:space="preserve">DTM-VVT-RTU-A-B Termination Board w- Belimo Act                                                      </t>
  </si>
  <si>
    <t>DTM-VVT-RTU-A-B</t>
  </si>
  <si>
    <t xml:space="preserve">331231                         </t>
  </si>
  <si>
    <t xml:space="preserve">DTM-DH1                                                                                              </t>
  </si>
  <si>
    <t xml:space="preserve">DTM-DH1        </t>
  </si>
  <si>
    <t xml:space="preserve">331250                         </t>
  </si>
  <si>
    <t xml:space="preserve">DZNT-V104T Tristate VAV Zone Controller without actuator (DZTM-V104T and DZNT-TO)                    </t>
  </si>
  <si>
    <t xml:space="preserve">DZNT-V104T     </t>
  </si>
  <si>
    <t xml:space="preserve">331299                         </t>
  </si>
  <si>
    <t xml:space="preserve">DZNT-V104T-A Tristate VAV Zone Controller (DZTM-V104T-A and DZNT-TO)                                 </t>
  </si>
  <si>
    <t xml:space="preserve">DZNT-V104T-A   </t>
  </si>
  <si>
    <t xml:space="preserve">331300                         </t>
  </si>
  <si>
    <t xml:space="preserve">DZNT-V104T-AB Tristate VAV Zone Controller (DZTM-V104T-AB and DZNT-T0)                               </t>
  </si>
  <si>
    <t xml:space="preserve">DZNT-V104T-AB  </t>
  </si>
  <si>
    <t xml:space="preserve">331301                         </t>
  </si>
  <si>
    <t xml:space="preserve">DZNT-V104T-AF Tristate VAV Zone Controller (DZTM-V104T-AF and DZNT-T0)                               </t>
  </si>
  <si>
    <t xml:space="preserve">DZNT-V104T-AF  </t>
  </si>
  <si>
    <t xml:space="preserve">331302                         </t>
  </si>
  <si>
    <t xml:space="preserve">DZNT-V104T-AFB Tristate VAV Zone Controller (DZTM-V104T-AFB and DZNT-T0)                             </t>
  </si>
  <si>
    <t xml:space="preserve">DZNTV104T-AFB  </t>
  </si>
  <si>
    <t xml:space="preserve">331303                         </t>
  </si>
  <si>
    <t xml:space="preserve">DZTM-V104T Tristate VAV Termination Module, no actuator                                              </t>
  </si>
  <si>
    <t xml:space="preserve">DZTM-V104T     </t>
  </si>
  <si>
    <t xml:space="preserve">331304                         </t>
  </si>
  <si>
    <t xml:space="preserve">DZTM-V104T-A Tristate VAV Termination Module, Siemens Actuator                                       </t>
  </si>
  <si>
    <t xml:space="preserve">DZTM-V104T-A   </t>
  </si>
  <si>
    <t xml:space="preserve">331305                         </t>
  </si>
  <si>
    <t xml:space="preserve">DZTM-V104T-AB Tristate VAV Termination Module, Belimo Actuator                                       </t>
  </si>
  <si>
    <t xml:space="preserve">DZTM-V104T-AB  </t>
  </si>
  <si>
    <t xml:space="preserve">331306                         </t>
  </si>
  <si>
    <t xml:space="preserve">DZTM-V104T-AF Tristate VAV Termination Module, Siemens Feedback Actuator                             </t>
  </si>
  <si>
    <t xml:space="preserve">DZTM-V104T-AF  </t>
  </si>
  <si>
    <t xml:space="preserve">331307                         </t>
  </si>
  <si>
    <t xml:space="preserve">DZTM-V104T-AFB Tristate VAV Termination Module, Belimo Feedback Actuator                             </t>
  </si>
  <si>
    <t xml:space="preserve">DZTM-V104T-AFB </t>
  </si>
  <si>
    <t xml:space="preserve">331308                         </t>
  </si>
  <si>
    <t xml:space="preserve">PAA2-T-A                                                                                             </t>
  </si>
  <si>
    <t xml:space="preserve">PAA2-T-A       </t>
  </si>
  <si>
    <t xml:space="preserve">331311                         </t>
  </si>
  <si>
    <t xml:space="preserve">DZNT-104T-A Tristate VVT Zone Controller (DZTM-104T-A and DZNT-T0)                                   </t>
  </si>
  <si>
    <t xml:space="preserve">DZNT-104T-A    </t>
  </si>
  <si>
    <t xml:space="preserve">331315                         </t>
  </si>
  <si>
    <t xml:space="preserve">DZNT-104T-AB Tristate VVT Zone Controller (DZTM-104T-AB and DZNT-T0)                                 </t>
  </si>
  <si>
    <t xml:space="preserve">DZNT-104T-AB   </t>
  </si>
  <si>
    <t xml:space="preserve">331316                         </t>
  </si>
  <si>
    <t xml:space="preserve">DZNT-104T-AF Tristate VVT Zone Controller (DZTM-104T-AF and DZNT-T0)                                 </t>
  </si>
  <si>
    <t xml:space="preserve">DZNT-104T-AF   </t>
  </si>
  <si>
    <t xml:space="preserve">331317                         </t>
  </si>
  <si>
    <t xml:space="preserve">DZNT-104T-AFB Tristate VVT Zone Controller (DZTM-104T-AFB AND DZNT-T0)                               </t>
  </si>
  <si>
    <t xml:space="preserve">DZNT-104T-AFB  </t>
  </si>
  <si>
    <t xml:space="preserve">331318                         </t>
  </si>
  <si>
    <t xml:space="preserve">DZTM-104T Tristate VVT Termination Module, no Actuator                                               </t>
  </si>
  <si>
    <t xml:space="preserve">DZTM-104T      </t>
  </si>
  <si>
    <t xml:space="preserve">331319                         </t>
  </si>
  <si>
    <t xml:space="preserve">DZTM-104T-A Tristate VVT Termination Module, Siemens Actuator                                        </t>
  </si>
  <si>
    <t xml:space="preserve">DZTM-104T-A    </t>
  </si>
  <si>
    <t xml:space="preserve">331320                         </t>
  </si>
  <si>
    <t xml:space="preserve">DZTM-104T-AB Tristate VVT Termination Module, Belimo Actuator                                        </t>
  </si>
  <si>
    <t xml:space="preserve">DZTM-104T-AB   </t>
  </si>
  <si>
    <t xml:space="preserve">331321                         </t>
  </si>
  <si>
    <t xml:space="preserve">DZTM-104T-AF Tristate VVT Termination Module, Siemens Feedback Actuator                              </t>
  </si>
  <si>
    <t xml:space="preserve">DZTM-104T-AF   </t>
  </si>
  <si>
    <t xml:space="preserve">331322                         </t>
  </si>
  <si>
    <t xml:space="preserve">DZTM-104T-AFB Tristate VVT Termination Module, Belimo Feedback Actuator                              </t>
  </si>
  <si>
    <t xml:space="preserve">DZTM-104T-AFB  </t>
  </si>
  <si>
    <t xml:space="preserve">331323                         </t>
  </si>
  <si>
    <t xml:space="preserve">DZNT-V104D Digital VAV Zone Controller without actuator (DZTM-V104D and DZNT-T0)                     </t>
  </si>
  <si>
    <t xml:space="preserve">DZNT-V104D     </t>
  </si>
  <si>
    <t xml:space="preserve">331329                         </t>
  </si>
  <si>
    <t xml:space="preserve">DZNT-V104D-A Digital VAV Zone Controller (DZTM-V104D-A and DZNT-T0)                                  </t>
  </si>
  <si>
    <t xml:space="preserve">DZNT-V104D-A   </t>
  </si>
  <si>
    <t xml:space="preserve">331330                         </t>
  </si>
  <si>
    <t xml:space="preserve">DZNT-V104D-AB Digital VAV Zone Controller (DZTM-V104D-AB and DZNT-T0)                                </t>
  </si>
  <si>
    <t xml:space="preserve">DZNT-V104D-AB  </t>
  </si>
  <si>
    <t xml:space="preserve">331331                         </t>
  </si>
  <si>
    <t xml:space="preserve">DZNT-V104D-AF Digital VAV Zone Controller (DZTM-V104D-AF and DZNT-T0)                                </t>
  </si>
  <si>
    <t xml:space="preserve">DZNT-V104D-AF  </t>
  </si>
  <si>
    <t xml:space="preserve">331332                         </t>
  </si>
  <si>
    <t xml:space="preserve">DZNT-V104D-AFB Digital VAV Zone Controller (DZTM-V104D-AFB and DZNT-T0)                              </t>
  </si>
  <si>
    <t xml:space="preserve">DZNTV104D-AFB  </t>
  </si>
  <si>
    <t xml:space="preserve">331333                         </t>
  </si>
  <si>
    <t xml:space="preserve">DZTM-V104D Digital VAV Termination Module, no Actuator                                               </t>
  </si>
  <si>
    <t xml:space="preserve">DZTM-V104D     </t>
  </si>
  <si>
    <t xml:space="preserve">331334                         </t>
  </si>
  <si>
    <t xml:space="preserve">DZTM-V104D-A Digital VAV Termination Module, Siemens Actuator                                        </t>
  </si>
  <si>
    <t xml:space="preserve">DZTM-V104D-A   </t>
  </si>
  <si>
    <t xml:space="preserve">331335                         </t>
  </si>
  <si>
    <t xml:space="preserve">DZTM-V104D-AB Digital VAV Termination Module, Belimo Actuator                                        </t>
  </si>
  <si>
    <t xml:space="preserve">DZTM-V104D-AB  </t>
  </si>
  <si>
    <t xml:space="preserve">331336                         </t>
  </si>
  <si>
    <t xml:space="preserve">DZTM-V104D-AF Digital VAV Termination Module, Siemens Feedback Actuator                              </t>
  </si>
  <si>
    <t xml:space="preserve">DZTM-V104D-AF  </t>
  </si>
  <si>
    <t xml:space="preserve">331337                         </t>
  </si>
  <si>
    <t xml:space="preserve">DZTM-V104D-AFB Digital VAV Termination Module, Belimo Feedback Actuator                              </t>
  </si>
  <si>
    <t xml:space="preserve">DZTM-V104D-AFB </t>
  </si>
  <si>
    <t xml:space="preserve">331338                         </t>
  </si>
  <si>
    <t xml:space="preserve">PAA2-D-A                                                                                             </t>
  </si>
  <si>
    <t xml:space="preserve">PAA2-D-A       </t>
  </si>
  <si>
    <t xml:space="preserve">331341                         </t>
  </si>
  <si>
    <t xml:space="preserve">DZNT-104D-A Digital VVT Zone Controller (DZTM-104D-A and DZNT-T0)                                    </t>
  </si>
  <si>
    <t xml:space="preserve">DZNT-104D-A    </t>
  </si>
  <si>
    <t xml:space="preserve">331345                         </t>
  </si>
  <si>
    <t xml:space="preserve">DZNT-104D-AB Digital VVT Zone Controller (DZTM-104D-AB and DZNT-T0)                                  </t>
  </si>
  <si>
    <t xml:space="preserve">DZNT-104D-AB   </t>
  </si>
  <si>
    <t xml:space="preserve">331346                         </t>
  </si>
  <si>
    <t xml:space="preserve">DZNT-104D-AF Digital VVT Zone Controller (DZTM-104D-AF AND DZNT-T0)                                  </t>
  </si>
  <si>
    <t xml:space="preserve">DZNT-104D-AF   </t>
  </si>
  <si>
    <t xml:space="preserve">331347                         </t>
  </si>
  <si>
    <t xml:space="preserve">DZNT-104D-AFB Digital VVT Zone Controller (DZTM-104D-AFB AND DZNT-T0)                                </t>
  </si>
  <si>
    <t xml:space="preserve">DZNT-104D-AFB  </t>
  </si>
  <si>
    <t xml:space="preserve">331348                         </t>
  </si>
  <si>
    <t xml:space="preserve">DZTM-104D Digital VVT Termination Module, no Actuator                                                </t>
  </si>
  <si>
    <t xml:space="preserve">DZTM-104D      </t>
  </si>
  <si>
    <t xml:space="preserve">331349                         </t>
  </si>
  <si>
    <t xml:space="preserve">DZTM-104D-A Digital VVT Termination Module, Siemens Actuator                                         </t>
  </si>
  <si>
    <t xml:space="preserve">DZTM-104D-A    </t>
  </si>
  <si>
    <t xml:space="preserve">331350                         </t>
  </si>
  <si>
    <t xml:space="preserve">DZTM-104D-AB Digital VVT Termination Module, Belimo Actuator                                         </t>
  </si>
  <si>
    <t xml:space="preserve">DZTM-104D-AB   </t>
  </si>
  <si>
    <t xml:space="preserve">331351                         </t>
  </si>
  <si>
    <t xml:space="preserve">DZTM-104D-AF Digital VVT Termination Module, Siemens Feedback Actuator                               </t>
  </si>
  <si>
    <t xml:space="preserve">DZTM-104D-AF   </t>
  </si>
  <si>
    <t xml:space="preserve">331352                         </t>
  </si>
  <si>
    <t xml:space="preserve">DZTM-104D-AFB Digital VVT Termination Module, Belimo Feedback Actuator                               </t>
  </si>
  <si>
    <t xml:space="preserve">DZTM-104D-AFB  </t>
  </si>
  <si>
    <t xml:space="preserve">331353                         </t>
  </si>
  <si>
    <t xml:space="preserve">DZNT-V112A Analog VAV Zone Controller without actuator (DZTM-V112A and DZNT-T0)                      </t>
  </si>
  <si>
    <t xml:space="preserve">DZNT-V112A     </t>
  </si>
  <si>
    <t xml:space="preserve">331359                         </t>
  </si>
  <si>
    <t xml:space="preserve">DZNT-V112A-A  Analog VAV Zone Controller (DZTM-V112A-A and DZNT-T0)                                  </t>
  </si>
  <si>
    <t xml:space="preserve">DZNT-V112A-A   </t>
  </si>
  <si>
    <t xml:space="preserve">331360                         </t>
  </si>
  <si>
    <t xml:space="preserve">DZNT-V112A-AB  Analog VAV Zone Controller (DZTM-V112A-AB and DZNT-T0)                                </t>
  </si>
  <si>
    <t xml:space="preserve">DZNT-V112A-AB  </t>
  </si>
  <si>
    <t xml:space="preserve">331361                         </t>
  </si>
  <si>
    <t xml:space="preserve">DZNT-V112A-AF Analog VAV Zone Controller (DZTM-V112A-AF and DZNT-T0)                                 </t>
  </si>
  <si>
    <t xml:space="preserve">DZNT-V112A-AF  </t>
  </si>
  <si>
    <t xml:space="preserve">331362                         </t>
  </si>
  <si>
    <t xml:space="preserve">DZNT-V112A-AFB Analog VAV Zone Controller (DZTM-V112A-AFB and DZNT-T0)                               </t>
  </si>
  <si>
    <t xml:space="preserve">DZNTV112A-AFB  </t>
  </si>
  <si>
    <t xml:space="preserve">331363                         </t>
  </si>
  <si>
    <t xml:space="preserve">DZTM-V112A Analog VAV Termination Module, no Actuator                                                </t>
  </si>
  <si>
    <t xml:space="preserve">DZTM-V112A     </t>
  </si>
  <si>
    <t xml:space="preserve">331364                         </t>
  </si>
  <si>
    <t xml:space="preserve">DZTM-V112A-A Analog VAV Termination Module, Siemens Actuator                                         </t>
  </si>
  <si>
    <t xml:space="preserve">DZTM-V112A-A   </t>
  </si>
  <si>
    <t xml:space="preserve">331365                         </t>
  </si>
  <si>
    <t xml:space="preserve">DZTM-V112A-AB Analog VAV Termination Module, Belimo Actuator                                         </t>
  </si>
  <si>
    <t xml:space="preserve">DZTM-V112A-AB  </t>
  </si>
  <si>
    <t xml:space="preserve">331366                         </t>
  </si>
  <si>
    <t xml:space="preserve">DZTM-V112A-AF Analog VAV Termination Module, Siemens Feedback Actuator                               </t>
  </si>
  <si>
    <t xml:space="preserve">DZTM-V112A-AF  </t>
  </si>
  <si>
    <t xml:space="preserve">331367                         </t>
  </si>
  <si>
    <t xml:space="preserve">DZTM-V112A-AFB Analog VAV Termination Module, Belimo Feedback Actuator                               </t>
  </si>
  <si>
    <t xml:space="preserve">DZTM-V112A-AFB </t>
  </si>
  <si>
    <t xml:space="preserve">331368                         </t>
  </si>
  <si>
    <t xml:space="preserve">PAA2-A-A                                                                                             </t>
  </si>
  <si>
    <t xml:space="preserve">PAA2-A-A       </t>
  </si>
  <si>
    <t xml:space="preserve">331371                         </t>
  </si>
  <si>
    <t xml:space="preserve">DZNT-112A-A Analog VVT Zone Controller (DZTM-112A-A AND DZNT-T0)                                     </t>
  </si>
  <si>
    <t xml:space="preserve">DZNT-112A-A    </t>
  </si>
  <si>
    <t xml:space="preserve">331375                         </t>
  </si>
  <si>
    <t xml:space="preserve">DZNT-112A-AB Analog VVT Zone Controller (DZTM-112A-AB AND DZNT-T0)                                   </t>
  </si>
  <si>
    <t xml:space="preserve">DZNT-112A-AB   </t>
  </si>
  <si>
    <t xml:space="preserve">331376                         </t>
  </si>
  <si>
    <t xml:space="preserve">DZNT-112A-AF Analog VVT Zone Controller (DZTM-112A-AF AND DZNT-T0)                                   </t>
  </si>
  <si>
    <t xml:space="preserve">DZNT-112A-AF   </t>
  </si>
  <si>
    <t xml:space="preserve">331377                         </t>
  </si>
  <si>
    <t xml:space="preserve">DZNT-112A-AFB Analog VVT Zone Controller (DZTM-112A-AFB AND DZNT-T0)                                 </t>
  </si>
  <si>
    <t xml:space="preserve">DZNT-112A-AFB  </t>
  </si>
  <si>
    <t xml:space="preserve">331378                         </t>
  </si>
  <si>
    <t xml:space="preserve">DZTM-112A Analog VVT Termination Module, no Actuator                                                 </t>
  </si>
  <si>
    <t xml:space="preserve">DZTM-112A      </t>
  </si>
  <si>
    <t xml:space="preserve">331379                         </t>
  </si>
  <si>
    <t xml:space="preserve">DZTM-112A-A Analog VVT Termination Module, Siemens Actuator                                          </t>
  </si>
  <si>
    <t xml:space="preserve">DZTM-112A-A    </t>
  </si>
  <si>
    <t xml:space="preserve">331380                         </t>
  </si>
  <si>
    <t xml:space="preserve">DZTM-112A-AB Analog VVT Termination Module, Belimo Actuator                                          </t>
  </si>
  <si>
    <t xml:space="preserve">DZTM-112A-AB   </t>
  </si>
  <si>
    <t xml:space="preserve">331381                         </t>
  </si>
  <si>
    <t xml:space="preserve">DZTM-112A-AF Analog VVT Termination Module, Siemens Feedback Actuator                                </t>
  </si>
  <si>
    <t xml:space="preserve">DZTM-112A-AF   </t>
  </si>
  <si>
    <t xml:space="preserve">331382                         </t>
  </si>
  <si>
    <t xml:space="preserve">DZTM-112A-AFB Analog VVT Termination Module, Belimo Feedback Actuator                                </t>
  </si>
  <si>
    <t xml:space="preserve">DZTM-112A-AFB  </t>
  </si>
  <si>
    <t xml:space="preserve">331383                         </t>
  </si>
  <si>
    <t xml:space="preserve">DZNT-104T Tristate VVT Zone Controller without actuator (DZTM-104T-A and DZNT-T0)                    </t>
  </si>
  <si>
    <t xml:space="preserve">DZNT-104T      </t>
  </si>
  <si>
    <t xml:space="preserve">331390                         </t>
  </si>
  <si>
    <t xml:space="preserve">DZNT-104D Digital VVT Zone Controller without actuator (DZTM-104D-A and DZNT-T0)                     </t>
  </si>
  <si>
    <t xml:space="preserve">DZNT-104D      </t>
  </si>
  <si>
    <t xml:space="preserve">331391                         </t>
  </si>
  <si>
    <t xml:space="preserve">DZNT-112A  Analog VVT Zone Controller without actuator (DZTM-112A-A AND DZNT-T0)                     </t>
  </si>
  <si>
    <t xml:space="preserve">DZNT-112A      </t>
  </si>
  <si>
    <t xml:space="preserve">331392                         </t>
  </si>
  <si>
    <t xml:space="preserve">DZNT-V104T-X  Tristate VAV Zone Controller without actuator (DZTM-V104T and DZNT-T0-X)               </t>
  </si>
  <si>
    <t xml:space="preserve">DZNT-V104T-X   </t>
  </si>
  <si>
    <t xml:space="preserve">331393                         </t>
  </si>
  <si>
    <t xml:space="preserve">DZNT-V104T-A-X  Tristate VAV Zone Controller (DZTM-V104T-A and DZNT-T0-X)                            </t>
  </si>
  <si>
    <t xml:space="preserve">DZNT-V104T-A-X </t>
  </si>
  <si>
    <t xml:space="preserve">331394                         </t>
  </si>
  <si>
    <t xml:space="preserve">DZNT-V104T-AB-X   Tristate VAV Zone Controller (DZTM-V104T-AB and DZNT-T0-X)                         </t>
  </si>
  <si>
    <t>DZNT-V104T-AB-X</t>
  </si>
  <si>
    <t xml:space="preserve">331395                         </t>
  </si>
  <si>
    <t xml:space="preserve">DZNT-V104T-AF-X  Tristate VAV Zone Controller (DZTM-V104T-AF and DZNT-T0-X)                          </t>
  </si>
  <si>
    <t>DZNT-V104T-AF-X</t>
  </si>
  <si>
    <t xml:space="preserve">331396                         </t>
  </si>
  <si>
    <t xml:space="preserve">DZNT-V104T-AFB-X  Tristate VAV Zone Controller (DZTM-V104T-AFB and DZNT-T0-X)                        </t>
  </si>
  <si>
    <t>DZNT-V104T-AFBX</t>
  </si>
  <si>
    <t xml:space="preserve">331397                         </t>
  </si>
  <si>
    <t xml:space="preserve">DZNT-104T-X  Tristate VVT Zone Controller without actuator (DZTM-104T and DZNT-T0-X)                 </t>
  </si>
  <si>
    <t xml:space="preserve">DZNT-104T-X    </t>
  </si>
  <si>
    <t xml:space="preserve">331398                         </t>
  </si>
  <si>
    <t xml:space="preserve">DZNT-104T-A-X  Tristate VVT Zone Controller (DZTM-104T-A and DZNT-T0-X)                              </t>
  </si>
  <si>
    <t xml:space="preserve">DZNT-104T-A-X  </t>
  </si>
  <si>
    <t xml:space="preserve">331399                         </t>
  </si>
  <si>
    <t xml:space="preserve">DZNT-104T-AB-X  Tristate VVT Zone Controller (DZTM-104T-AB and DZNT-T0-X)                            </t>
  </si>
  <si>
    <t xml:space="preserve">DZNT-104T-AB-X </t>
  </si>
  <si>
    <t xml:space="preserve">331400                         </t>
  </si>
  <si>
    <t xml:space="preserve">DZNT-104T-AF-X  Tristate VVT Zone Controller (DZTM-104T-AF and DZNT-T0-X)                            </t>
  </si>
  <si>
    <t xml:space="preserve">DZNT-104T-AF-X </t>
  </si>
  <si>
    <t xml:space="preserve">331401                         </t>
  </si>
  <si>
    <t xml:space="preserve">DZNT-104T-AFB-X  Tristate VVT Zone Controller (DZTM-104T-AFB and DZNT-T0-X)                          </t>
  </si>
  <si>
    <t>DZNT-104T-AFB-X</t>
  </si>
  <si>
    <t xml:space="preserve">331402                         </t>
  </si>
  <si>
    <t xml:space="preserve">DZNT-V104D-X  Digital VAV Zone Controller without actuator (DZTM-V104D and DZNT-T0-X)                </t>
  </si>
  <si>
    <t xml:space="preserve">DZNT-V104D-X   </t>
  </si>
  <si>
    <t xml:space="preserve">331403                         </t>
  </si>
  <si>
    <t xml:space="preserve">DZNT-V104D-A-X  Digital VAV Zone Controller (DZTM-V104D-A and DZNT-T0-X)                             </t>
  </si>
  <si>
    <t xml:space="preserve">DZNT-V104D-A-X </t>
  </si>
  <si>
    <t xml:space="preserve">331404                         </t>
  </si>
  <si>
    <t xml:space="preserve">DZNT-V104D-AB-X  Digital VAV Zone Controller (DZTM-V104D-AB and DZNT-T0-X)                           </t>
  </si>
  <si>
    <t>DZNT-V104D-AB-X</t>
  </si>
  <si>
    <t xml:space="preserve">331405                         </t>
  </si>
  <si>
    <t xml:space="preserve">DZNT-V104D-AF-X  Digital VAV Zone Controller (DZTM-V104D-AF and DZNT-T0-X)                           </t>
  </si>
  <si>
    <t>DZNT-V104D-AF-X</t>
  </si>
  <si>
    <t xml:space="preserve">331406                         </t>
  </si>
  <si>
    <t xml:space="preserve">DZNT-V104D-AFB-X  Digital VAV Zone Controller (DZTM-V104D-AFB and DZNT-T0-X)                         </t>
  </si>
  <si>
    <t>DZNT-V104D-AFBX</t>
  </si>
  <si>
    <t xml:space="preserve">331407                         </t>
  </si>
  <si>
    <t xml:space="preserve">DZNT-104D-X  Digital VVT Zone Controller without actuator (DZTM-104D and DZNT-T0-X)                  </t>
  </si>
  <si>
    <t xml:space="preserve">DZNT-104D-X    </t>
  </si>
  <si>
    <t xml:space="preserve">331408                         </t>
  </si>
  <si>
    <t xml:space="preserve">DZNT-104D-A-X  Digital VVT Zone Controller (DZTM-104D-A and DZNT-T0-X)                               </t>
  </si>
  <si>
    <t xml:space="preserve">DZNT-104D-A-X  </t>
  </si>
  <si>
    <t xml:space="preserve">331409                         </t>
  </si>
  <si>
    <t xml:space="preserve">DZNT-104D-AB-X  Digital VVT Zone Controller (DZTM-104D-AB and DZNT-T0-X)                             </t>
  </si>
  <si>
    <t xml:space="preserve">DZNT-104D-AB-X </t>
  </si>
  <si>
    <t xml:space="preserve">331410                         </t>
  </si>
  <si>
    <t xml:space="preserve">DZNT-104D-AF-X  Digital VVT Zone Controller (DZTM-104D-AF and DZNT-T0-X)                             </t>
  </si>
  <si>
    <t xml:space="preserve">DZNT-104D-AF-X </t>
  </si>
  <si>
    <t xml:space="preserve">331411                         </t>
  </si>
  <si>
    <t xml:space="preserve">DZNT-104D-AFB-X  Digital VVT Zone Controller (DZTM-104D-AFB and DZNT-T0-X)                           </t>
  </si>
  <si>
    <t>DZNT-104D-AFB-X</t>
  </si>
  <si>
    <t xml:space="preserve">331412                         </t>
  </si>
  <si>
    <t xml:space="preserve">DZNT-V112A-X  Analog VAV Zone Controller without actuator (DZTM-V112A and DZNT-T0-X)                 </t>
  </si>
  <si>
    <t xml:space="preserve">DZNT-V112A-X   </t>
  </si>
  <si>
    <t xml:space="preserve">331413                         </t>
  </si>
  <si>
    <t xml:space="preserve">DZNT-V112A-A-X  Analog VAV Zone Controller (DZTM-V112A-A and DZNT-T0-X)                              </t>
  </si>
  <si>
    <t xml:space="preserve">DZNT-V112A-A-X </t>
  </si>
  <si>
    <t xml:space="preserve">331414                         </t>
  </si>
  <si>
    <t xml:space="preserve">DZNT-V112A-AB-X  Analog VAV Zone Controller (DZTM-V112A-AB and DZNT-T0-X)                            </t>
  </si>
  <si>
    <t>DZNT-V112A-AB-X</t>
  </si>
  <si>
    <t xml:space="preserve">331415                         </t>
  </si>
  <si>
    <t xml:space="preserve">DZNT-V112A-AF-X  Analog VAV Zone Controller (DZTM-V112A-AF and DZNT-T0-X)                            </t>
  </si>
  <si>
    <t>DZNT-V112A-AF-X</t>
  </si>
  <si>
    <t xml:space="preserve">331416                         </t>
  </si>
  <si>
    <t xml:space="preserve">DZNT-V112A-AFB-X  Analog VAV Zone Controller (DZTM-V112A-AFB and DZNT-T0-X)                          </t>
  </si>
  <si>
    <t>DZNT-V112A-AFBX</t>
  </si>
  <si>
    <t xml:space="preserve">331417                         </t>
  </si>
  <si>
    <t xml:space="preserve">DZNT-112A-X Analog VVT Zone Controller without actuator (DZTM-112A and DZNT-T0-X)                    </t>
  </si>
  <si>
    <t xml:space="preserve">DZNT-112A-X    </t>
  </si>
  <si>
    <t xml:space="preserve">331418                         </t>
  </si>
  <si>
    <t xml:space="preserve">DZNT-112A-A-X  Analog VVT Zone Controller (DZTM-112A-A and DZNT-T0-X)                                </t>
  </si>
  <si>
    <t xml:space="preserve">DZNT-112A-A-X  </t>
  </si>
  <si>
    <t xml:space="preserve">331419                         </t>
  </si>
  <si>
    <t xml:space="preserve">DZNT-112A-AB-X  Analog VVT Zone Controller (DZTM-112A-AB and DZNT-T0-X)                              </t>
  </si>
  <si>
    <t xml:space="preserve">DZNT-112A-AB-X </t>
  </si>
  <si>
    <t xml:space="preserve">331420                         </t>
  </si>
  <si>
    <t xml:space="preserve">DZNT-112A-AF-X  Analog VVT Zone Controller (DZTM-112A-AF and DZNT-T0-X)                              </t>
  </si>
  <si>
    <t xml:space="preserve">DZNT-112A-AF-X </t>
  </si>
  <si>
    <t xml:space="preserve">331421                         </t>
  </si>
  <si>
    <t xml:space="preserve">DZNT-112A-AFB-X  Analog VVT Zone Controller (DZTM-112A-AFB and DZNT-T0-X)                            </t>
  </si>
  <si>
    <t>DZNT-112A-AFB-X</t>
  </si>
  <si>
    <t xml:space="preserve">331422                         </t>
  </si>
  <si>
    <t xml:space="preserve">DHMI-7ETH (DHMI-ETH Board with 7in LCD, Temperature and Humidity Sensors)                            </t>
  </si>
  <si>
    <t xml:space="preserve">DHMI-7ETH      </t>
  </si>
  <si>
    <t xml:space="preserve">331701                         </t>
  </si>
  <si>
    <t xml:space="preserve">A9070000 - DHMI-E-UPOR Board with 7in LCD and Temperature Sensor                                     </t>
  </si>
  <si>
    <t xml:space="preserve">DHMI-7E-UPOR   </t>
  </si>
  <si>
    <t xml:space="preserve">331702                         </t>
  </si>
  <si>
    <t xml:space="preserve">DHMI-7ET (DHMI-E Board with 7in LCD)                                                                  </t>
  </si>
  <si>
    <t xml:space="preserve">DHMI-7ET        </t>
  </si>
  <si>
    <t xml:space="preserve">331703                         </t>
  </si>
  <si>
    <t xml:space="preserve">DHMI-7ETO (DHMI-ETO Board with 7in LCD, Temperature and Occupancy Sensors)                           </t>
  </si>
  <si>
    <t xml:space="preserve">DHMI-7ETO      </t>
  </si>
  <si>
    <t xml:space="preserve">331704                         </t>
  </si>
  <si>
    <t xml:space="preserve">DHMI-7ETO-ZB (DHMI-ETO Board with 7in LCD, Temperature and Occupancy Sensors, and ZigBee Wireless)   </t>
  </si>
  <si>
    <t xml:space="preserve">DHMI-7ETO-ZB   </t>
  </si>
  <si>
    <t xml:space="preserve">331705                         </t>
  </si>
  <si>
    <t xml:space="preserve">DHMI-7ETHO-ZB (DHMI-ETHO Board with 7in LCD, Temp, Humidity, Occ Sensors, and ZigBee)                </t>
  </si>
  <si>
    <t xml:space="preserve">DHMI-7ETHO-ZB  </t>
  </si>
  <si>
    <t xml:space="preserve">331706                         </t>
  </si>
  <si>
    <t xml:space="preserve">DHMI-7ETHO (DHMI-ETH Board with 7in LCD, Temp, Humidity, and Occupancy Sensors)                      </t>
  </si>
  <si>
    <t xml:space="preserve">DHMI-7ETHO     </t>
  </si>
  <si>
    <t xml:space="preserve">331707                         </t>
  </si>
  <si>
    <t xml:space="preserve">DHMI-7ETHC (DHMI-ETH Board with 7in LCD, Temp, Humidity, and Custom color)                           </t>
  </si>
  <si>
    <t xml:space="preserve">DHMI-7ETHC     </t>
  </si>
  <si>
    <t xml:space="preserve">331708                         </t>
  </si>
  <si>
    <t xml:space="preserve">DHMI-7ETHOC (DHMI-ETHO Board with 7in LCD, Temp, Humidity, Custom Colour w/ Blk Occ Sensor)          </t>
  </si>
  <si>
    <t xml:space="preserve">DHMI-7ETHOC    </t>
  </si>
  <si>
    <t xml:space="preserve">331709                         </t>
  </si>
  <si>
    <t xml:space="preserve">DHMI-7ETHOWC (DHMI-ETHOW Board with 7in LCD, Temp Humidity, Custom Colour w/ White Occ Sensor)       </t>
  </si>
  <si>
    <t xml:space="preserve">DHMI-7ETHOWC   </t>
  </si>
  <si>
    <t xml:space="preserve">331710                         </t>
  </si>
  <si>
    <t xml:space="preserve">DHMI-EXP-ZBEE (ZigBee Wireless option board)                                                         </t>
  </si>
  <si>
    <t xml:space="preserve">DHMI-EXP-ZBEE  </t>
  </si>
  <si>
    <t xml:space="preserve">331711                         </t>
  </si>
  <si>
    <t xml:space="preserve">DHMI-7ET-ZB (DHMI-ET Board with 7in LCD, Temperature Sensor, and ZigBee Wireless)                    </t>
  </si>
  <si>
    <t xml:space="preserve">DHMI-7ET-ZB    </t>
  </si>
  <si>
    <t xml:space="preserve">331712                         </t>
  </si>
  <si>
    <t xml:space="preserve">BACnet MS/TP expansion card </t>
  </si>
  <si>
    <t>eTCH-EXP-MSTP</t>
  </si>
  <si>
    <t>Remote Sensor Hub (T,RH,Light, Motion, Bluetooth, EnOcean 902Mhz, LED ring Mic. Spkr)</t>
  </si>
  <si>
    <t>O3-HUB-En902</t>
  </si>
  <si>
    <t>Sensor Hub</t>
  </si>
  <si>
    <t>O3-HUB-00</t>
  </si>
  <si>
    <t>Sensor Hub (T,RH,Light, Motion, Bluetooth, 2xP UI/O, LED ring Mic. Spkr)</t>
  </si>
  <si>
    <t>O3-HUB-02</t>
  </si>
  <si>
    <t xml:space="preserve"> Edge Sensor </t>
  </si>
  <si>
    <t>O3-SENSE-00</t>
  </si>
  <si>
    <t xml:space="preserve">O3-EDGE-02-E8 </t>
  </si>
  <si>
    <t xml:space="preserve">Edge Controller </t>
  </si>
  <si>
    <t xml:space="preserve">O3-EDGE-02 </t>
  </si>
  <si>
    <t>Input Multiplexer Expander</t>
  </si>
  <si>
    <t>MUX-D400</t>
  </si>
  <si>
    <t xml:space="preserve">ADP45-MSTP-BYPASS MS/TP Bypass Adaptor                                                               </t>
  </si>
  <si>
    <t>ADP45-MSTP-BYPS</t>
  </si>
  <si>
    <t xml:space="preserve">331948                         </t>
  </si>
  <si>
    <t xml:space="preserve">ADP45-MSTP-Y  MS/TP  Y Adaptor                                                                       </t>
  </si>
  <si>
    <t xml:space="preserve">ADP45-MSTP-Y   </t>
  </si>
  <si>
    <t xml:space="preserve">331949                         </t>
  </si>
  <si>
    <t xml:space="preserve">ADP45-MSTP-TB-Y MS/TP 2 Wire Adaptor                                                                 </t>
  </si>
  <si>
    <t>ADP45-MSTP-TB-Y</t>
  </si>
  <si>
    <t xml:space="preserve">331952                         </t>
  </si>
  <si>
    <t xml:space="preserve">ADP45-MSTP-EOL  RJ45 MSTP End of Line Loop Adapter                                                   </t>
  </si>
  <si>
    <t xml:space="preserve">ADP45-MSTP-EOL </t>
  </si>
  <si>
    <t xml:space="preserve">331953                         </t>
  </si>
  <si>
    <t xml:space="preserve">CAT5-6_Breakout                                                                                      </t>
  </si>
  <si>
    <t>CAT5-6 Breakout</t>
  </si>
  <si>
    <t xml:space="preserve">331954                         </t>
  </si>
  <si>
    <t xml:space="preserve">DNT-VAV-TRI-A                                                                                        </t>
  </si>
  <si>
    <t xml:space="preserve">DNT-VAV-TRI-A  </t>
  </si>
  <si>
    <t xml:space="preserve">332000                         </t>
  </si>
  <si>
    <t xml:space="preserve">DNT-VAV-DG3-A                                                                                        </t>
  </si>
  <si>
    <t xml:space="preserve">DNT-VAV-DG3-A  </t>
  </si>
  <si>
    <t xml:space="preserve">332001                         </t>
  </si>
  <si>
    <t xml:space="preserve">DNT-VAV-ANA-A                                                                                        </t>
  </si>
  <si>
    <t xml:space="preserve">DNT-VAV-ANA-A  </t>
  </si>
  <si>
    <t xml:space="preserve">332002                         </t>
  </si>
  <si>
    <t xml:space="preserve">DTM-VAV-ANA                                                                                          </t>
  </si>
  <si>
    <t xml:space="preserve">DTM-VAV-ANA    </t>
  </si>
  <si>
    <t xml:space="preserve">332005                         </t>
  </si>
  <si>
    <t xml:space="preserve">PEDC-T (Tristate reheat)                                                                             </t>
  </si>
  <si>
    <t xml:space="preserve">PEDC-T         </t>
  </si>
  <si>
    <t xml:space="preserve">332006                         </t>
  </si>
  <si>
    <t xml:space="preserve">PEDC-D (Digital reheat) VAV                                                                          </t>
  </si>
  <si>
    <t xml:space="preserve">PEDC-D         </t>
  </si>
  <si>
    <t xml:space="preserve">332007                         </t>
  </si>
  <si>
    <t xml:space="preserve">PEDC-A (Analog reheat)                                                                               </t>
  </si>
  <si>
    <t xml:space="preserve">PEDC-A         </t>
  </si>
  <si>
    <t xml:space="preserve">332008                         </t>
  </si>
  <si>
    <t xml:space="preserve">PAA-T (Price Actuator Assembly Tristate)                                                             </t>
  </si>
  <si>
    <t xml:space="preserve">PAA-T          </t>
  </si>
  <si>
    <t xml:space="preserve">332009                         </t>
  </si>
  <si>
    <t xml:space="preserve">PAA-D (Price Actuator Assembly Digital)                                                              </t>
  </si>
  <si>
    <t xml:space="preserve">PAA-D          </t>
  </si>
  <si>
    <t xml:space="preserve">332010                         </t>
  </si>
  <si>
    <t xml:space="preserve">PAA-A (Price Actuator Assembly Analog)                                                               </t>
  </si>
  <si>
    <t xml:space="preserve">PAA-A          </t>
  </si>
  <si>
    <t xml:space="preserve">332011                         </t>
  </si>
  <si>
    <t xml:space="preserve">DTM-VAV-TRI-A                                                                                        </t>
  </si>
  <si>
    <t xml:space="preserve">DTM-VAV-TRI-A  </t>
  </si>
  <si>
    <t xml:space="preserve">332013                         </t>
  </si>
  <si>
    <t xml:space="preserve">DTM-VAV-DG3-A                                                                                        </t>
  </si>
  <si>
    <t xml:space="preserve">DTM-VAV-DG3-A  </t>
  </si>
  <si>
    <t xml:space="preserve">332014                         </t>
  </si>
  <si>
    <t xml:space="preserve">DFM-1600  Delta Field Module 16 Universal Inputs                                                     </t>
  </si>
  <si>
    <t xml:space="preserve">DFM-1600       </t>
  </si>
  <si>
    <t xml:space="preserve">332116                         </t>
  </si>
  <si>
    <t xml:space="preserve">UL864-DFM-1600 V3.33 Delta Field Module 16AI                                                         </t>
  </si>
  <si>
    <t xml:space="preserve">UL864-DFM-1600 </t>
  </si>
  <si>
    <t xml:space="preserve">332117                         </t>
  </si>
  <si>
    <t xml:space="preserve">DFM-1616 Delta Field Module LINKnet, 16 Inputs, 16 Outputs, HOA's                                    </t>
  </si>
  <si>
    <t xml:space="preserve">DFM-1616       </t>
  </si>
  <si>
    <t xml:space="preserve">332160                         </t>
  </si>
  <si>
    <t xml:space="preserve">UL864-DFM-1616 Delta Field Module LINKnet, 16 Inputs, 16 Outputs, HOA's                              </t>
  </si>
  <si>
    <t xml:space="preserve">UL864-DFM-1616 </t>
  </si>
  <si>
    <t xml:space="preserve">332161                         </t>
  </si>
  <si>
    <t xml:space="preserve">DFM-1616-CCI                                                                                         </t>
  </si>
  <si>
    <t xml:space="preserve">DFM-1616-CCI   </t>
  </si>
  <si>
    <t xml:space="preserve">332162                         </t>
  </si>
  <si>
    <t xml:space="preserve">DFM-200 (DeltaFieldMod I/OMod 2 IP)                                                                  </t>
  </si>
  <si>
    <t xml:space="preserve">DFM-200        </t>
  </si>
  <si>
    <t xml:space="preserve">332200                         </t>
  </si>
  <si>
    <t xml:space="preserve">DFM-202 (DeltaFieldMod,LINKnetDev.,I/OMod,2 IP BO)                                                   </t>
  </si>
  <si>
    <t xml:space="preserve">DFM-202        </t>
  </si>
  <si>
    <t xml:space="preserve">332202                         </t>
  </si>
  <si>
    <t xml:space="preserve">DVT-V221                                                                                             </t>
  </si>
  <si>
    <t xml:space="preserve">DVT-V221       </t>
  </si>
  <si>
    <t xml:space="preserve">332215                         </t>
  </si>
  <si>
    <t xml:space="preserve">DFM-220 (DeltaFieldMod,LINKnetDev,I/OMod,2IP,2AO)                                                    </t>
  </si>
  <si>
    <t xml:space="preserve">DFM-220        </t>
  </si>
  <si>
    <t xml:space="preserve">332220                         </t>
  </si>
  <si>
    <t xml:space="preserve">DFM-400 (DeltaFieldMod I/O Mod 4 IP)                                                                 </t>
  </si>
  <si>
    <t xml:space="preserve">DFM-400        </t>
  </si>
  <si>
    <t xml:space="preserve">332400                         </t>
  </si>
  <si>
    <t xml:space="preserve">UL864-DFM-400 Delta Field Module 4AI                                                                 </t>
  </si>
  <si>
    <t xml:space="preserve">UL864-DFM-400  </t>
  </si>
  <si>
    <t xml:space="preserve">332402                         </t>
  </si>
  <si>
    <t xml:space="preserve">DFM-400-CCI                                                                                          </t>
  </si>
  <si>
    <t xml:space="preserve">DFM-400-CCI    </t>
  </si>
  <si>
    <t xml:space="preserve">332403                         </t>
  </si>
  <si>
    <t xml:space="preserve">DFM-404 (DeltaFieldMod,LINKnet Dev I/OMod,4IP,4BO)                                                   </t>
  </si>
  <si>
    <t xml:space="preserve">DFM-404        </t>
  </si>
  <si>
    <t xml:space="preserve">332404                         </t>
  </si>
  <si>
    <t xml:space="preserve">UL864-DFM-404 Delta Field Module 4AI, 4BO                                                            </t>
  </si>
  <si>
    <t xml:space="preserve">UL864-DFM-404  </t>
  </si>
  <si>
    <t xml:space="preserve">332406                         </t>
  </si>
  <si>
    <t xml:space="preserve">DFM-404-CCI  (DeltaFieldMod,LINKnet Dev I/OMod,4IP,4BO)                                              </t>
  </si>
  <si>
    <t xml:space="preserve">DFM-404-CCI    </t>
  </si>
  <si>
    <t xml:space="preserve">332407                         </t>
  </si>
  <si>
    <t xml:space="preserve">DFM-440 (DeltaFieldMod,LINKnet Dev,I/OMod,4IP,4AO)                                                   </t>
  </si>
  <si>
    <t xml:space="preserve">DFM-440        </t>
  </si>
  <si>
    <t xml:space="preserve">332440                         </t>
  </si>
  <si>
    <t xml:space="preserve">UL864-DFM-440 Delta Field Module 4AI, 4AO                                                            </t>
  </si>
  <si>
    <t xml:space="preserve">UL864-DFM-440  </t>
  </si>
  <si>
    <t xml:space="preserve">332443                         </t>
  </si>
  <si>
    <t xml:space="preserve">DFM-400P (Delta Field Module, 4 Pulse Inputs)                                                        </t>
  </si>
  <si>
    <t xml:space="preserve">DFM-400P       </t>
  </si>
  <si>
    <t xml:space="preserve">332450                         </t>
  </si>
  <si>
    <t xml:space="preserve">DZNR-768 BACnet MS/TP Repeater                                                                       </t>
  </si>
  <si>
    <t xml:space="preserve">DZNR-768       </t>
  </si>
  <si>
    <t xml:space="preserve">332460                         </t>
  </si>
  <si>
    <t xml:space="preserve">DZNR-768-CCI                                                                                         </t>
  </si>
  <si>
    <t xml:space="preserve">DZNR-768-CCI   </t>
  </si>
  <si>
    <t xml:space="preserve">332461                         </t>
  </si>
  <si>
    <t xml:space="preserve">DFM-ZBEE Delta Wireless Gateway (LINKnet to ZigBee)                                                  </t>
  </si>
  <si>
    <t xml:space="preserve">DFM-ZBEE       </t>
  </si>
  <si>
    <t xml:space="preserve">332470                         </t>
  </si>
  <si>
    <t xml:space="preserve">enteliMESH Wireless Router for ZigBee                                                                </t>
  </si>
  <si>
    <t xml:space="preserve">eM-RPT         </t>
  </si>
  <si>
    <t xml:space="preserve">332480                         </t>
  </si>
  <si>
    <t>Meter BUS Level Converter (3 Meters)</t>
  </si>
  <si>
    <t>CON-MBUS-3</t>
  </si>
  <si>
    <t>Meter BUS Level Converter (50 Meters)</t>
  </si>
  <si>
    <t>CON-MBUS-50</t>
  </si>
  <si>
    <t xml:space="preserve">A9011400 - UPOR-F008    Zone Valve Damper DFM                                                        </t>
  </si>
  <si>
    <t xml:space="preserve">UPOR-F008      </t>
  </si>
  <si>
    <t xml:space="preserve">332500                         </t>
  </si>
  <si>
    <t xml:space="preserve">A9011100 - UPOR-F405-FAC   Furnace/AC DFM                                                            </t>
  </si>
  <si>
    <t xml:space="preserve">UPOR-F405-FAC  </t>
  </si>
  <si>
    <t xml:space="preserve">332501                         </t>
  </si>
  <si>
    <t xml:space="preserve">A9011200 - UPOR-F403-HRV     HRV DFM                                                                 </t>
  </si>
  <si>
    <t xml:space="preserve">UPOR-F403-HRV  </t>
  </si>
  <si>
    <t xml:space="preserve">332502                         </t>
  </si>
  <si>
    <t xml:space="preserve">A9011600 - UPOR-F808 Generic Interface Field Module                                                  </t>
  </si>
  <si>
    <t xml:space="preserve">UPOR-F808      </t>
  </si>
  <si>
    <t xml:space="preserve">332503                         </t>
  </si>
  <si>
    <t xml:space="preserve">TMSC-RT-808 TMSC Router I/O Module                                                                   </t>
  </si>
  <si>
    <t xml:space="preserve">TMSC-RT-808    </t>
  </si>
  <si>
    <t xml:space="preserve">332513                         </t>
  </si>
  <si>
    <t xml:space="preserve">TMSC-RT-SOLAR                                                                                        </t>
  </si>
  <si>
    <t xml:space="preserve">TMSC-RT-SOLAR  </t>
  </si>
  <si>
    <t xml:space="preserve">332514                         </t>
  </si>
  <si>
    <t>enteliZONE VAV Controller</t>
  </si>
  <si>
    <t>eZV-440-AB</t>
  </si>
  <si>
    <t xml:space="preserve">enteliZONE VAV Controller </t>
  </si>
  <si>
    <t>eZV-440-AS</t>
  </si>
  <si>
    <t>eZVP-440</t>
  </si>
  <si>
    <t>eZVP-440-AB</t>
  </si>
  <si>
    <t>eZVP-440-AFB</t>
  </si>
  <si>
    <t>eZVP-440E-AFB</t>
  </si>
  <si>
    <t xml:space="preserve">DVC-V304 (DIGITAL VAV CONTROLLER)                                                                    </t>
  </si>
  <si>
    <t xml:space="preserve">DVC-V304       </t>
  </si>
  <si>
    <t xml:space="preserve">333045                         </t>
  </si>
  <si>
    <t xml:space="preserve">DVC-V304A (DigVAVCont.w/Siemens Actuator                                                             </t>
  </si>
  <si>
    <t xml:space="preserve">DVC-V304A      </t>
  </si>
  <si>
    <t xml:space="preserve">333046                         </t>
  </si>
  <si>
    <t xml:space="preserve">DVC-V304AF (DigVAVCont.w/Siemens Act,&amp;Feedback)                                                      </t>
  </si>
  <si>
    <t xml:space="preserve">DVC-V304AF     </t>
  </si>
  <si>
    <t xml:space="preserve">333047                         </t>
  </si>
  <si>
    <t xml:space="preserve">DVC-V304AF-DD                                                                                        </t>
  </si>
  <si>
    <t xml:space="preserve">DVC-V304AF-DD  </t>
  </si>
  <si>
    <t xml:space="preserve">333048                         </t>
  </si>
  <si>
    <t xml:space="preserve">DVC-V304A-DD  (DigVAVCont.w/Siemens Actuator and  DG1 Termination Mod w/Siemens Act.)                </t>
  </si>
  <si>
    <t xml:space="preserve">DVC-V304A-DD   </t>
  </si>
  <si>
    <t xml:space="preserve">333049                         </t>
  </si>
  <si>
    <t xml:space="preserve">UL864-DVC-V304A  V3.33 (Digital VAV Controller w/Siemens Actuator, UL864 Listed)                     </t>
  </si>
  <si>
    <t>UL864-DVC-V304A</t>
  </si>
  <si>
    <t xml:space="preserve">333050                         </t>
  </si>
  <si>
    <t xml:space="preserve">UL864-DVC-V304AF V3.33  (Digital VAV Controller w/Siemens Actuator &amp; Feedback, UL864 Listed)         </t>
  </si>
  <si>
    <t>UL864DVC-V304AF</t>
  </si>
  <si>
    <t xml:space="preserve">333051                         </t>
  </si>
  <si>
    <t xml:space="preserve">DVC-V304A-CCI                                                                                        </t>
  </si>
  <si>
    <t xml:space="preserve">DVC-V304A-CCI  </t>
  </si>
  <si>
    <t xml:space="preserve">333052                         </t>
  </si>
  <si>
    <t xml:space="preserve">DVC-V304A-B (DigVAVCont.w/Belimo Actuator)                                                           </t>
  </si>
  <si>
    <t xml:space="preserve">DVC-V304A-B    </t>
  </si>
  <si>
    <t xml:space="preserve">333146                         </t>
  </si>
  <si>
    <t xml:space="preserve">DVC-V304AF-B (DigVAVCont.w/Belimo Actuator)                                                          </t>
  </si>
  <si>
    <t xml:space="preserve">DVC-V304AF-B   </t>
  </si>
  <si>
    <t xml:space="preserve">333147                         </t>
  </si>
  <si>
    <t xml:space="preserve">DVC-V304E-AFB (ethernet VAV 3IP, 4Triacs, airflow &amp; Belimo Feedback Act.)                            </t>
  </si>
  <si>
    <t xml:space="preserve">DVC-V304E-AFB  </t>
  </si>
  <si>
    <t xml:space="preserve">333148                         </t>
  </si>
  <si>
    <t xml:space="preserve">DVC-V304A-B-DD   (DigVAVCont.w/Belimo Actuator and  DG1 Termination Mod w/Belimo Act.)               </t>
  </si>
  <si>
    <t xml:space="preserve">DVC-V304A-B-DD </t>
  </si>
  <si>
    <t xml:space="preserve">333149                         </t>
  </si>
  <si>
    <t xml:space="preserve">DVC-V304AF-B-DD                                                                                      </t>
  </si>
  <si>
    <t>DVC-V304AF-B-DD</t>
  </si>
  <si>
    <t xml:space="preserve">333150                         </t>
  </si>
  <si>
    <t xml:space="preserve">eZ-V304AF (enteliZONE VAV 3IP, 4 Triac Outputs, airlfow &amp; MP Bus Act.)                               </t>
  </si>
  <si>
    <t xml:space="preserve">eZ-V304AF      </t>
  </si>
  <si>
    <t xml:space="preserve">333167                         </t>
  </si>
  <si>
    <t xml:space="preserve">DVC-V322 (AnalogCont,DPS,3IP,2AO,2BO,BNetMS/TP120)                                                   </t>
  </si>
  <si>
    <t xml:space="preserve">DVC-V322       </t>
  </si>
  <si>
    <t xml:space="preserve">333225                         </t>
  </si>
  <si>
    <t xml:space="preserve">DVC-V322A(Analog Cont, w/Siemens Act)                                                                </t>
  </si>
  <si>
    <t xml:space="preserve">DVC-V322A      </t>
  </si>
  <si>
    <t xml:space="preserve">333226                         </t>
  </si>
  <si>
    <t xml:space="preserve">DVC-V322AF (Analog Cont,w/Siemens Act &amp; Feedback)                                                    </t>
  </si>
  <si>
    <t xml:space="preserve">DVC-V322AF     </t>
  </si>
  <si>
    <t xml:space="preserve">333227                         </t>
  </si>
  <si>
    <t xml:space="preserve">DVC-V322AF-DD                                                                                        </t>
  </si>
  <si>
    <t xml:space="preserve">DVC-V322AF-DD  </t>
  </si>
  <si>
    <t xml:space="preserve">333228                         </t>
  </si>
  <si>
    <t xml:space="preserve">DVC-V322A-DD  (Analog Cont.w/Siemens Actuator and  DG1 Termination Mod w/Siemens Act.)               </t>
  </si>
  <si>
    <t xml:space="preserve">DVC-V322A-DD   </t>
  </si>
  <si>
    <t xml:space="preserve">333229                         </t>
  </si>
  <si>
    <t xml:space="preserve">UL864-DVC-V322A V3.33 (Analog VAV Controller, w/Siemens Actuator, UL864 Listed)                      </t>
  </si>
  <si>
    <t>UL864-DVC-V322A</t>
  </si>
  <si>
    <t xml:space="preserve">333230                         </t>
  </si>
  <si>
    <t xml:space="preserve">UL864-DVC-V322AF  V3.33 (Analog VAV Controller, w/Siemens Actuator &amp; Feedback, UL864 Listed)         </t>
  </si>
  <si>
    <t>UL864DVC-V322AF</t>
  </si>
  <si>
    <t xml:space="preserve">333231                         </t>
  </si>
  <si>
    <t xml:space="preserve">DVC-V322A-B (DigVAVCont.w/Belimo Actuator)                                                           </t>
  </si>
  <si>
    <t xml:space="preserve">DVC-V322A-B    </t>
  </si>
  <si>
    <t xml:space="preserve">333326                         </t>
  </si>
  <si>
    <t xml:space="preserve">DVC-V322AF-B (DigVAVCont.w/Belimo Actuator)                                                          </t>
  </si>
  <si>
    <t xml:space="preserve">DVC-V322AF-B   </t>
  </si>
  <si>
    <t xml:space="preserve">333327                         </t>
  </si>
  <si>
    <t xml:space="preserve">DVC-V322E-AFB (ethernet VAV 3IP, 2AO, 2Triacs, airflow &amp; Belimo Feedback Act.)                       </t>
  </si>
  <si>
    <t xml:space="preserve">DVC-V322E-AFB  </t>
  </si>
  <si>
    <t xml:space="preserve">333328                         </t>
  </si>
  <si>
    <t xml:space="preserve">DVC-V322A-B-DD  (Analog Cont.w/Belimo Actuator and  DG1 Termination Mod w/Belimo Act.)               </t>
  </si>
  <si>
    <t xml:space="preserve">DVC-V322A-B-DD </t>
  </si>
  <si>
    <t xml:space="preserve">333329                         </t>
  </si>
  <si>
    <t xml:space="preserve">DVC-V322AF-B-DD                                                                                      </t>
  </si>
  <si>
    <t>DVC-V322AF-B-DD</t>
  </si>
  <si>
    <t xml:space="preserve">333330                         </t>
  </si>
  <si>
    <t xml:space="preserve">DVC-V322-POE                                                                                         </t>
  </si>
  <si>
    <t xml:space="preserve">DVC-V322-POE   </t>
  </si>
  <si>
    <t xml:space="preserve">333331                         </t>
  </si>
  <si>
    <t>VAV Controller w/PoE</t>
  </si>
  <si>
    <t>DVC-V322-PoE-AB</t>
  </si>
  <si>
    <t xml:space="preserve">eZ-V322AF (enteliZONE VAV 3IP, 2AO, 2 Triac Outputs, airlfow &amp; MP Bus Act.)                          </t>
  </si>
  <si>
    <t xml:space="preserve">eZ-V322AF      </t>
  </si>
  <si>
    <t xml:space="preserve">333407                         </t>
  </si>
  <si>
    <t xml:space="preserve">UL864-DNT-T103  (DNT-T103 with UL864 Listing)                                                        </t>
  </si>
  <si>
    <t xml:space="preserve">UL864-DNT-T103 </t>
  </si>
  <si>
    <t xml:space="preserve">334038                         </t>
  </si>
  <si>
    <t xml:space="preserve">DNT-T103  BACstat II Network Thermostat (1RT, 1IP, 3BO, BACnet MS/TP                                 </t>
  </si>
  <si>
    <t xml:space="preserve">DNT-T103       </t>
  </si>
  <si>
    <t xml:space="preserve">334040                         </t>
  </si>
  <si>
    <t xml:space="preserve">DNT-T103-INT  (DNT-T103 with International Buttons)                                                  </t>
  </si>
  <si>
    <t xml:space="preserve">DNT-T103-INT   </t>
  </si>
  <si>
    <t xml:space="preserve">334041                         </t>
  </si>
  <si>
    <t xml:space="preserve">DNT-H103B  (DNT-T103 with Humidity, Backlighting, External Thermistor Capabilities)                  </t>
  </si>
  <si>
    <t xml:space="preserve">DNT-H103B      </t>
  </si>
  <si>
    <t xml:space="preserve">334049                         </t>
  </si>
  <si>
    <t xml:space="preserve">DNT-H103B-INT  (DNT-T103 with Humidity, Backlighting, Ext Thermistor capable, International Buttons) </t>
  </si>
  <si>
    <t xml:space="preserve">DNT-H103B-INT  </t>
  </si>
  <si>
    <t xml:space="preserve">334051                         </t>
  </si>
  <si>
    <t xml:space="preserve">DNT-T103 V2.30                                                                                       </t>
  </si>
  <si>
    <t xml:space="preserve">DNT-T103 V2.30 </t>
  </si>
  <si>
    <t xml:space="preserve">334052                         </t>
  </si>
  <si>
    <t xml:space="preserve">DNT-T103BX  (DNT-T103 with Backlighting, External Thermistor Capabilities)                           </t>
  </si>
  <si>
    <t xml:space="preserve">DNT-T103BX     </t>
  </si>
  <si>
    <t xml:space="preserve">334140                         </t>
  </si>
  <si>
    <t xml:space="preserve">DNT-T103BX-INT  (DNT-T103 with Backlighting, External Thermistor Capabilities, International Button) </t>
  </si>
  <si>
    <t xml:space="preserve">DNT-T103BX-INT </t>
  </si>
  <si>
    <t xml:space="preserve">334141                         </t>
  </si>
  <si>
    <t xml:space="preserve">DNT-T103-SP                                                                                          </t>
  </si>
  <si>
    <t xml:space="preserve">DNT-T103-SP    </t>
  </si>
  <si>
    <t xml:space="preserve">334146                         </t>
  </si>
  <si>
    <t xml:space="preserve">DNT-T103-EI                                                                                          </t>
  </si>
  <si>
    <t xml:space="preserve">DNT-T103-EI    </t>
  </si>
  <si>
    <t xml:space="preserve">334148                         </t>
  </si>
  <si>
    <t xml:space="preserve">DNT-T221BX (DNT-T221 with Backlighting, External Thermistor Capabilities)                            </t>
  </si>
  <si>
    <t xml:space="preserve">DNT-T221BX     </t>
  </si>
  <si>
    <t xml:space="preserve">334200                         </t>
  </si>
  <si>
    <t xml:space="preserve">DNT-T221BX-INT (DNT-T221 with Backlighting, External Thermistor Capabilities, International Buttons) </t>
  </si>
  <si>
    <t xml:space="preserve">DNT-T221BX-INT </t>
  </si>
  <si>
    <t xml:space="preserve">334204                         </t>
  </si>
  <si>
    <t xml:space="preserve">DNT-T221 BACstat II Network Thermostat (1RT,2IP,2AO,1BO,BACnet MS/TP)                                </t>
  </si>
  <si>
    <t xml:space="preserve">DNT-T221       </t>
  </si>
  <si>
    <t xml:space="preserve">334221                         </t>
  </si>
  <si>
    <t xml:space="preserve">DNT-T221-INT  (DNT-T221 with International Buttons)                                                  </t>
  </si>
  <si>
    <t xml:space="preserve">DNT-T221-INT   </t>
  </si>
  <si>
    <t xml:space="preserve">334223                         </t>
  </si>
  <si>
    <t xml:space="preserve">DNT-H121B  (DNT-T221 with Humidity, Backlighting, External Thermistor Capabilities)                  </t>
  </si>
  <si>
    <t xml:space="preserve">DNT-H121B      </t>
  </si>
  <si>
    <t xml:space="preserve">334226                         </t>
  </si>
  <si>
    <t xml:space="preserve">DNT-H121B-INT  (DNT-T221 with Humidity, Backlighting, Ext Thermistor capable, International Buttons) </t>
  </si>
  <si>
    <t xml:space="preserve">DNT-H121B-INT  </t>
  </si>
  <si>
    <t xml:space="preserve">334228                         </t>
  </si>
  <si>
    <t xml:space="preserve">PCDT (Price Controlling Digital Thermostat)                                                          </t>
  </si>
  <si>
    <t>PCDT Price Stat</t>
  </si>
  <si>
    <t xml:space="preserve">334231                         </t>
  </si>
  <si>
    <t xml:space="preserve">DNT-T221B-INT-EH                                                                                     </t>
  </si>
  <si>
    <t>DNTT221B-INT-EH</t>
  </si>
  <si>
    <t xml:space="preserve">334232                         </t>
  </si>
  <si>
    <t xml:space="preserve">DNT-T221-EI                                                                                          </t>
  </si>
  <si>
    <t xml:space="preserve">DNT-T221-EI    </t>
  </si>
  <si>
    <t xml:space="preserve">334233                         </t>
  </si>
  <si>
    <t xml:space="preserve">DNT-T221BX-FCU                                                                                       </t>
  </si>
  <si>
    <t xml:space="preserve">DNT-T221BX-FCU </t>
  </si>
  <si>
    <t xml:space="preserve">334237                         </t>
  </si>
  <si>
    <t xml:space="preserve">DNT-T221BX-FCU-2P                                                                                    </t>
  </si>
  <si>
    <t>DNT-T221BXFCU2P</t>
  </si>
  <si>
    <t xml:space="preserve">334238                         </t>
  </si>
  <si>
    <t xml:space="preserve">DNT-T221BX-FCU-4P                                                                                    </t>
  </si>
  <si>
    <t>DNT-T221BXFCU4P</t>
  </si>
  <si>
    <t xml:space="preserve">334239                         </t>
  </si>
  <si>
    <t>DNT-T221BX-FCU-240V</t>
  </si>
  <si>
    <t xml:space="preserve">DNT-T305-G1A (4 Button Temp &amp; Occupancy Keys)                                                        </t>
  </si>
  <si>
    <t xml:space="preserve">DNT-T305-G1A   </t>
  </si>
  <si>
    <t xml:space="preserve">334350                         </t>
  </si>
  <si>
    <t xml:space="preserve">DNT-T305-G1B (16-Button, Temp, Occ &amp; Numeric Keys)                                                   </t>
  </si>
  <si>
    <t xml:space="preserve">DNT-T305-G1B   </t>
  </si>
  <si>
    <t xml:space="preserve">334351                         </t>
  </si>
  <si>
    <t xml:space="preserve">DNT-T305-G2A (8-Button, Temp, Occ &amp; Fan Keys)                                                        </t>
  </si>
  <si>
    <t xml:space="preserve">DNT-T305-G2A   </t>
  </si>
  <si>
    <t xml:space="preserve">334352                         </t>
  </si>
  <si>
    <t xml:space="preserve">DNT-T305-G3A (8-Butt, Temp, Occ &amp; TimeClock Keys)                                                    </t>
  </si>
  <si>
    <t xml:space="preserve">DNT-T305-G3A   </t>
  </si>
  <si>
    <t xml:space="preserve">334354                         </t>
  </si>
  <si>
    <t xml:space="preserve">DNT-T305-H2A (8-Button, Hotel Application Keypad)                                                    </t>
  </si>
  <si>
    <t xml:space="preserve">DNT-T305-H2A   </t>
  </si>
  <si>
    <t xml:space="preserve">334355                         </t>
  </si>
  <si>
    <t xml:space="preserve">DNT-T305-VM1 (16-Butt:Temp, Occ,T.Clock&amp;Num Keys)                                                    </t>
  </si>
  <si>
    <t xml:space="preserve">DNT-T305-VM1   </t>
  </si>
  <si>
    <t xml:space="preserve">334359                         </t>
  </si>
  <si>
    <t xml:space="preserve">DNT-T305-H2A Rev 8.3                                                                                 </t>
  </si>
  <si>
    <t>DNT-T305H2A-8.3</t>
  </si>
  <si>
    <t xml:space="preserve">334372                         </t>
  </si>
  <si>
    <t xml:space="preserve">DNT-405-G3A                                                                                          </t>
  </si>
  <si>
    <t xml:space="preserve">DNT-405-G3A    </t>
  </si>
  <si>
    <t xml:space="preserve">334454                         </t>
  </si>
  <si>
    <t xml:space="preserve">DNT-405-GEO                                                                                          </t>
  </si>
  <si>
    <t xml:space="preserve">DNT-405-GEO    </t>
  </si>
  <si>
    <t xml:space="preserve">334459                         </t>
  </si>
  <si>
    <t xml:space="preserve">DRP-T0B                                                                                              </t>
  </si>
  <si>
    <t xml:space="preserve">DRP-T0B        </t>
  </si>
  <si>
    <t xml:space="preserve">334500                         </t>
  </si>
  <si>
    <t xml:space="preserve">eZONE Thermostat </t>
  </si>
  <si>
    <t>eZNT-T100-B-SM-003-GWG</t>
  </si>
  <si>
    <t xml:space="preserve">DNS-14 BACstat I (4 Button LCD Display)                                                              </t>
  </si>
  <si>
    <t xml:space="preserve">DNS-14         </t>
  </si>
  <si>
    <t xml:space="preserve">335104                         </t>
  </si>
  <si>
    <t xml:space="preserve">DNS-H24LB-CCI                                                                                        </t>
  </si>
  <si>
    <t xml:space="preserve">DNS-H24LB-CCI  </t>
  </si>
  <si>
    <t xml:space="preserve">335201                         </t>
  </si>
  <si>
    <t xml:space="preserve">DNS-H24LB  (DNS-24L with Humidity, Backlighting, External Thermistor Capabilities)                   </t>
  </si>
  <si>
    <t xml:space="preserve">DNS-H24LB      </t>
  </si>
  <si>
    <t xml:space="preserve">335202                         </t>
  </si>
  <si>
    <t xml:space="preserve">DNS-H24LB-INT  (DNS-24L with Humidity, Backlighting, Ext. Thermistor Capabilities &amp; International)   </t>
  </si>
  <si>
    <t xml:space="preserve">DNS-H24LB-INT  </t>
  </si>
  <si>
    <t xml:space="preserve">335203                         </t>
  </si>
  <si>
    <t xml:space="preserve">DNS-24BX (DNS-24 with Backlighting, External Thermistor Capabilities)                                </t>
  </si>
  <si>
    <t xml:space="preserve">DNS-24BX       </t>
  </si>
  <si>
    <t xml:space="preserve">335213                         </t>
  </si>
  <si>
    <t xml:space="preserve">DNS-24BX-INT  (DNS-24 with Backlighting, External Thermistor Capabilities, International Buttons)    </t>
  </si>
  <si>
    <t xml:space="preserve">DNS-24BX-INT   </t>
  </si>
  <si>
    <t xml:space="preserve">335215                         </t>
  </si>
  <si>
    <t xml:space="preserve">DNS-24L  BACstat II Network Sensor (LINKnet Only, 4 Button w/cust LCD, No I/O)                       </t>
  </si>
  <si>
    <t xml:space="preserve">DNS-24L        </t>
  </si>
  <si>
    <t xml:space="preserve">335216                         </t>
  </si>
  <si>
    <t xml:space="preserve">DNS-24LXB  (DNS-24L with Backlighting, External Thermistor Capabilities)                             </t>
  </si>
  <si>
    <t xml:space="preserve">DNS-24LXB      </t>
  </si>
  <si>
    <t xml:space="preserve">335219                         </t>
  </si>
  <si>
    <t xml:space="preserve">DNS-24L-INT  (DNS-24L with International Buttons)                                                    </t>
  </si>
  <si>
    <t xml:space="preserve">DNS-24L-INT    </t>
  </si>
  <si>
    <t xml:space="preserve">335220                         </t>
  </si>
  <si>
    <t xml:space="preserve">DNS-24L-CCI  Sensor                                                                                  </t>
  </si>
  <si>
    <t xml:space="preserve">DNS-24L-CCI    </t>
  </si>
  <si>
    <t xml:space="preserve">335224                         </t>
  </si>
  <si>
    <t>BACstat Network Sensor</t>
  </si>
  <si>
    <t>DNS-24L-O-INT</t>
  </si>
  <si>
    <t>DNS-24L-O-FAN</t>
  </si>
  <si>
    <t xml:space="preserve">DNS-24L-FAN                                                                                          </t>
  </si>
  <si>
    <t xml:space="preserve">DNS-24L-FAN    </t>
  </si>
  <si>
    <t xml:space="preserve">335229                         </t>
  </si>
  <si>
    <t>BACsta with Tmp, Hum, CO2</t>
  </si>
  <si>
    <t>DNS-CH24</t>
  </si>
  <si>
    <t xml:space="preserve"> BACstat (DNS-24 with Temp, Hum, CO2, Motion, Backlight)</t>
  </si>
  <si>
    <t>DNS-CHM24B</t>
  </si>
  <si>
    <t>DNS-CHM24 BACstat with Tmp, Hum, CO2, Motion</t>
  </si>
  <si>
    <t xml:space="preserve">DNS-CHM24 </t>
  </si>
  <si>
    <t xml:space="preserve">UL864-DNS-24  (DNS-24 with UL864 Listing)                                                            </t>
  </si>
  <si>
    <t xml:space="preserve">UL864-DNS-24   </t>
  </si>
  <si>
    <t xml:space="preserve">335240                         </t>
  </si>
  <si>
    <t xml:space="preserve">DNS-24-EI                                                                                            </t>
  </si>
  <si>
    <t xml:space="preserve">DNS-24-EI      </t>
  </si>
  <si>
    <t xml:space="preserve">335241                         </t>
  </si>
  <si>
    <t xml:space="preserve">DNS-24LB-VEN                                                                                         </t>
  </si>
  <si>
    <t xml:space="preserve">DNS-24LB-VEN   </t>
  </si>
  <si>
    <t xml:space="preserve">335242                         </t>
  </si>
  <si>
    <t xml:space="preserve">DZNT-T0-X VAV/VVT Thermostat                                                                         </t>
  </si>
  <si>
    <t xml:space="preserve">DZNT-T0-X      </t>
  </si>
  <si>
    <t xml:space="preserve">335300                         </t>
  </si>
  <si>
    <t xml:space="preserve">enteliZONE Network Sensor </t>
  </si>
  <si>
    <t>eZNS-T100-NB-SM-045-BBB</t>
  </si>
  <si>
    <t>eZNS-T100-NB-R-047-GWG</t>
  </si>
  <si>
    <t>eZNS-T100-NB-SM-047-WWG</t>
  </si>
  <si>
    <t>eZNS-T100-B-R-009-GWG</t>
  </si>
  <si>
    <t>eZNS-T100-B-SM-047-WWG</t>
  </si>
  <si>
    <t>eZNS-T100CHM-B-R-009-BBB</t>
  </si>
  <si>
    <t>eZNS-T100CHM-B-R-045-WWG</t>
  </si>
  <si>
    <t xml:space="preserve">RTS-20  Blank, 10K Thermistor                                                                        </t>
  </si>
  <si>
    <t xml:space="preserve">RTS-20         </t>
  </si>
  <si>
    <t xml:space="preserve">336200                         </t>
  </si>
  <si>
    <t xml:space="preserve">RTS-20J Blank, 10K Thermistor, w/Jack                                                                </t>
  </si>
  <si>
    <t xml:space="preserve">RTS-20J        </t>
  </si>
  <si>
    <t xml:space="preserve">336201                         </t>
  </si>
  <si>
    <t xml:space="preserve">RTS-20P  10K Thermistor, Occupancy Override Button                                                   </t>
  </si>
  <si>
    <t xml:space="preserve">RTS-20P        </t>
  </si>
  <si>
    <t xml:space="preserve">336204                         </t>
  </si>
  <si>
    <t xml:space="preserve">RTS-20PS  10K Thermistor, 20K Setpoint Adjust, Occupancy Override Button                             </t>
  </si>
  <si>
    <t xml:space="preserve">RTS-20PS       </t>
  </si>
  <si>
    <t xml:space="preserve">336205                         </t>
  </si>
  <si>
    <t xml:space="preserve">RTS-20JPS  10K Thermistor, 20K Setpoint Adjust, Occupancy Override Button, RJ-11 Port                </t>
  </si>
  <si>
    <t xml:space="preserve">RTS-20JPS      </t>
  </si>
  <si>
    <t xml:space="preserve">336207                         </t>
  </si>
  <si>
    <t xml:space="preserve">WNS-T                                                                                                </t>
  </si>
  <si>
    <t xml:space="preserve">WNS-T          </t>
  </si>
  <si>
    <t xml:space="preserve">336209                         </t>
  </si>
  <si>
    <t xml:space="preserve">enteliMESH WNS-TB Delta Wireless Network Sensor (Temp Only)                                          </t>
  </si>
  <si>
    <t xml:space="preserve">WNS-TB         </t>
  </si>
  <si>
    <t xml:space="preserve">336210                         </t>
  </si>
  <si>
    <t xml:space="preserve">enteliMESH WNS-THB Delta Wireless Network Sensor (Temp and Humidity)                                 </t>
  </si>
  <si>
    <t xml:space="preserve">WNS-THB        </t>
  </si>
  <si>
    <t xml:space="preserve">336211                         </t>
  </si>
  <si>
    <t xml:space="preserve">enteliMESH WNS-TPB Delta Wireless Network Sensor (Temp and Push Button)                              </t>
  </si>
  <si>
    <t xml:space="preserve">WNS-TPB        </t>
  </si>
  <si>
    <t xml:space="preserve">336212                         </t>
  </si>
  <si>
    <t xml:space="preserve">enteliMESH WNS-TSB                                                                                   </t>
  </si>
  <si>
    <t xml:space="preserve">WNS-TSB        </t>
  </si>
  <si>
    <t xml:space="preserve">336213                         </t>
  </si>
  <si>
    <t xml:space="preserve">enteliMESH WNS-TPSB Delta Wireless Network Sensor (Temp, Push Button and Setpoint)                   </t>
  </si>
  <si>
    <t xml:space="preserve">WNS-TPSB       </t>
  </si>
  <si>
    <t xml:space="preserve">336214                         </t>
  </si>
  <si>
    <t xml:space="preserve">enteliMESH WNS-THPB                                                                                  </t>
  </si>
  <si>
    <t xml:space="preserve">WNS-THPB       </t>
  </si>
  <si>
    <t xml:space="preserve">336215                         </t>
  </si>
  <si>
    <t xml:space="preserve">enteliMESH WNS-THSB                                                                                  </t>
  </si>
  <si>
    <t xml:space="preserve">WNS-THSB       </t>
  </si>
  <si>
    <t xml:space="preserve">336216                         </t>
  </si>
  <si>
    <t xml:space="preserve">WNS-THPSB Delta Wireless Network Sensor (Temp, Humidity, Push Button and Setpoint)                   </t>
  </si>
  <si>
    <t xml:space="preserve">WNS-THPSB      </t>
  </si>
  <si>
    <t xml:space="preserve">336217                         </t>
  </si>
  <si>
    <t xml:space="preserve">WFM-001 Wireless Field Modile with 1 Binary Output                                                   </t>
  </si>
  <si>
    <t xml:space="preserve">WFM-001        </t>
  </si>
  <si>
    <t xml:space="preserve">336218                         </t>
  </si>
  <si>
    <t xml:space="preserve">WFM-200 Wireless Field Module with 2 Universal Inputs                                                </t>
  </si>
  <si>
    <t xml:space="preserve">WFM-200        </t>
  </si>
  <si>
    <t xml:space="preserve">336219                         </t>
  </si>
  <si>
    <t xml:space="preserve">WFM-202 Wireless Field Module with 2 UI and 2 BOs                                                    </t>
  </si>
  <si>
    <t xml:space="preserve">WFM-202        </t>
  </si>
  <si>
    <t xml:space="preserve">336220                         </t>
  </si>
  <si>
    <t xml:space="preserve">WFM-400 Wireless Field Module with 4 Universal Inputs                                                </t>
  </si>
  <si>
    <t xml:space="preserve">WFM-400        </t>
  </si>
  <si>
    <t xml:space="preserve">336221                         </t>
  </si>
  <si>
    <t xml:space="preserve">WFM-404 Wireless Field Module with 4 UI and 4 BOs                                                    </t>
  </si>
  <si>
    <t xml:space="preserve">WFM-404        </t>
  </si>
  <si>
    <t xml:space="preserve">336222                         </t>
  </si>
  <si>
    <t xml:space="preserve">WFM-440 Wireless Field Module with 4 UI and 4 AOs                                                    </t>
  </si>
  <si>
    <t xml:space="preserve">WFM-440        </t>
  </si>
  <si>
    <t xml:space="preserve">336223                         </t>
  </si>
  <si>
    <t xml:space="preserve">WFM-220 Wireless Field Module with 2 UI and 2 AOs                                                    </t>
  </si>
  <si>
    <t xml:space="preserve">WFM-220        </t>
  </si>
  <si>
    <t xml:space="preserve">336224                         </t>
  </si>
  <si>
    <t xml:space="preserve">enteliMESH Wireless Field Module with 4 UI 1 AO and 4 BOs                                            </t>
  </si>
  <si>
    <t xml:space="preserve">eM-410R4       </t>
  </si>
  <si>
    <t xml:space="preserve">336225                         </t>
  </si>
  <si>
    <t xml:space="preserve">enteliMESH Wireless VAV, no Actuator                                                                 </t>
  </si>
  <si>
    <t xml:space="preserve">eM-V204        </t>
  </si>
  <si>
    <t xml:space="preserve">336226                         </t>
  </si>
  <si>
    <t xml:space="preserve">enteliMESH Wireless VAV, Belimo Actuator                                                             </t>
  </si>
  <si>
    <t xml:space="preserve">eM-V204AF      </t>
  </si>
  <si>
    <t xml:space="preserve">336227                         </t>
  </si>
  <si>
    <t xml:space="preserve">enteliMESH Wireless Interface MBUS                                                                   </t>
  </si>
  <si>
    <t xml:space="preserve">eM-MBUS        </t>
  </si>
  <si>
    <t xml:space="preserve">336230                         </t>
  </si>
  <si>
    <t xml:space="preserve">enteliMESH-solar power, temperature sensor                                                           </t>
  </si>
  <si>
    <t xml:space="preserve">eM-T100        </t>
  </si>
  <si>
    <t xml:space="preserve">336231                         </t>
  </si>
  <si>
    <t xml:space="preserve">enteliMESH-solar power, temperature sensor, setpoint, override switch, battery                       </t>
  </si>
  <si>
    <t xml:space="preserve">eM-T100-SPB    </t>
  </si>
  <si>
    <t xml:space="preserve">336232                         </t>
  </si>
  <si>
    <t xml:space="preserve">enteliMESH-solar power, single switch, battery                                                       </t>
  </si>
  <si>
    <t xml:space="preserve">eM-S100-B      </t>
  </si>
  <si>
    <t xml:space="preserve">336233                         </t>
  </si>
  <si>
    <t xml:space="preserve">enteliMESH-solar power, double switch, battery                                                       </t>
  </si>
  <si>
    <t xml:space="preserve">eM-S200-B      </t>
  </si>
  <si>
    <t xml:space="preserve">336234                         </t>
  </si>
  <si>
    <t xml:space="preserve">enteliMESH-solar power, contact                                                                      </t>
  </si>
  <si>
    <t xml:space="preserve">eM-C100        </t>
  </si>
  <si>
    <t xml:space="preserve">336235                         </t>
  </si>
  <si>
    <t xml:space="preserve">RTS-424  V2 Room Temperature Sensor, 4 Button w/cust LCD, No I/O                                     </t>
  </si>
  <si>
    <t xml:space="preserve">RTS-424        </t>
  </si>
  <si>
    <t xml:space="preserve">336240                         </t>
  </si>
  <si>
    <t xml:space="preserve">RTS-424B (Obsolete) V2 Room Temp Sensor, 4 Button w/cust LCD, No I/O, with Backlighting              </t>
  </si>
  <si>
    <t xml:space="preserve">RTS-424B       </t>
  </si>
  <si>
    <t xml:space="preserve">336241                         </t>
  </si>
  <si>
    <t xml:space="preserve">enteliMESH Wireless Field Module with 4 UI 1 AO and 4 BOs, Fan Coil Algorithm                        </t>
  </si>
  <si>
    <t xml:space="preserve">eM-410R4FC     </t>
  </si>
  <si>
    <t xml:space="preserve">336242                         </t>
  </si>
  <si>
    <t xml:space="preserve">enteliMESH Wireless Field Module with 4 UI 1 AO and 4 BOs, Heat Pump Algorithm                       </t>
  </si>
  <si>
    <t xml:space="preserve">eM-410R4HP     </t>
  </si>
  <si>
    <t xml:space="preserve">336243                         </t>
  </si>
  <si>
    <t xml:space="preserve">enteliMESH Wireless Field Module with 4 UI 1 AO and 4 BOs, Roof Top Algorithm                        </t>
  </si>
  <si>
    <t xml:space="preserve">eM-410R4RT     </t>
  </si>
  <si>
    <t xml:space="preserve">336244                         </t>
  </si>
  <si>
    <t xml:space="preserve">enteliMESH Wireless Field Module with 4 UI 1 AO and 4 BOs, Small AHU Algorithm                       </t>
  </si>
  <si>
    <t xml:space="preserve">eM-410R4AH     </t>
  </si>
  <si>
    <t xml:space="preserve">336245                         </t>
  </si>
  <si>
    <t xml:space="preserve">YTS-10K Sensor                                                                                       </t>
  </si>
  <si>
    <t xml:space="preserve">YTS-10K        </t>
  </si>
  <si>
    <t xml:space="preserve">336300                         </t>
  </si>
  <si>
    <t xml:space="preserve">YTS-10KN Sensor w Network Port (obsolete)                                                            </t>
  </si>
  <si>
    <t xml:space="preserve">YTS-10KN       </t>
  </si>
  <si>
    <t xml:space="preserve">336310                         </t>
  </si>
  <si>
    <t xml:space="preserve">YTS-10KS 10K Sensor w Setpoint (obsolete)                                                            </t>
  </si>
  <si>
    <t xml:space="preserve">YTS-10KS       </t>
  </si>
  <si>
    <t xml:space="preserve">336320                         </t>
  </si>
  <si>
    <t xml:space="preserve">YTS-10KNS 10K Sensor w Network Port &amp; Setpoint (obsolete)                                            </t>
  </si>
  <si>
    <t xml:space="preserve">YTS-10KNS      </t>
  </si>
  <si>
    <t xml:space="preserve">336330                         </t>
  </si>
  <si>
    <t xml:space="preserve">YTS-10KO 10K Sensor w Override                                                                       </t>
  </si>
  <si>
    <t xml:space="preserve">YTS-10KO       </t>
  </si>
  <si>
    <t xml:space="preserve">336340                         </t>
  </si>
  <si>
    <t xml:space="preserve">YTS-10KNO 10K Sensor w Network Port &amp; Override (obsolete)                                            </t>
  </si>
  <si>
    <t xml:space="preserve">YTS-10KNO      </t>
  </si>
  <si>
    <t xml:space="preserve">336350                         </t>
  </si>
  <si>
    <t xml:space="preserve">YTS-10KSO 10K Sensor w Setpoint &amp; Override                                                           </t>
  </si>
  <si>
    <t xml:space="preserve">YTS-10KSO      </t>
  </si>
  <si>
    <t xml:space="preserve">336360                         </t>
  </si>
  <si>
    <t xml:space="preserve">YTS-10KNSO 10KSensor w/NetworkPort SetPnt&amp;Override (obsolete)                                        </t>
  </si>
  <si>
    <t xml:space="preserve">YTS-10KNSO     </t>
  </si>
  <si>
    <t xml:space="preserve">336370                         </t>
  </si>
  <si>
    <t xml:space="preserve">YNS-24M LCD Sensor w/MODBUS (obsolete)                                                               </t>
  </si>
  <si>
    <t xml:space="preserve">YNS-24M        </t>
  </si>
  <si>
    <t xml:space="preserve">336390                         </t>
  </si>
  <si>
    <t xml:space="preserve">YNS-24MH LCD Sensor w/MODBUS and Humidity (obsolete)                                                 </t>
  </si>
  <si>
    <t xml:space="preserve">YNS-24MH       </t>
  </si>
  <si>
    <t xml:space="preserve">336391                         </t>
  </si>
  <si>
    <t xml:space="preserve">YTS-10K-C 10K Sensor                                                                                 </t>
  </si>
  <si>
    <t xml:space="preserve">YTS-10K-C      </t>
  </si>
  <si>
    <t xml:space="preserve">336400                         </t>
  </si>
  <si>
    <t xml:space="preserve">YTS-10KN-C 10K Sensor w Network Port (obsolete)                                                      </t>
  </si>
  <si>
    <t xml:space="preserve">YTS-10KN-C     </t>
  </si>
  <si>
    <t xml:space="preserve">336410                         </t>
  </si>
  <si>
    <t xml:space="preserve">YTS-10KS-C 10K Sensor w Setpoint (obsolete)                                                          </t>
  </si>
  <si>
    <t xml:space="preserve">YTS-10KS-C     </t>
  </si>
  <si>
    <t xml:space="preserve">336420                         </t>
  </si>
  <si>
    <t xml:space="preserve">YTS-10KNS-C 10K Sensor w Network Port &amp; Setpoint (obsolete)                                          </t>
  </si>
  <si>
    <t xml:space="preserve">YTS-10KNS-C    </t>
  </si>
  <si>
    <t xml:space="preserve">336430                         </t>
  </si>
  <si>
    <t xml:space="preserve">YTS-10KO-C 10K Sensor w Override                                                                     </t>
  </si>
  <si>
    <t xml:space="preserve">YTS-10KO-C     </t>
  </si>
  <si>
    <t xml:space="preserve">336440                         </t>
  </si>
  <si>
    <t xml:space="preserve">YTS-10KNO-C 10K Sensor w Network Port &amp; Override (obsolete)                                          </t>
  </si>
  <si>
    <t xml:space="preserve">YTS-10KNO-C    </t>
  </si>
  <si>
    <t xml:space="preserve">336450                         </t>
  </si>
  <si>
    <t xml:space="preserve">YTS-10KSO-C 10K Sensor w Setpoint &amp; Override                                                         </t>
  </si>
  <si>
    <t xml:space="preserve">YTS-10KSO-C    </t>
  </si>
  <si>
    <t xml:space="preserve">336460                         </t>
  </si>
  <si>
    <t xml:space="preserve">YTS-10KNSO-C 10K Sensor w NtWrkPrt SetPnt&amp;Override (obsolete)                                        </t>
  </si>
  <si>
    <t xml:space="preserve">YTS-10KNSO-C   </t>
  </si>
  <si>
    <t xml:space="preserve">336470                         </t>
  </si>
  <si>
    <t xml:space="preserve">PRT-485                                                                                              </t>
  </si>
  <si>
    <t xml:space="preserve">PRT-485        </t>
  </si>
  <si>
    <t xml:space="preserve">337000                         </t>
  </si>
  <si>
    <t xml:space="preserve">DEW322 (for partner use only-w/all software opt.)                                                    </t>
  </si>
  <si>
    <t xml:space="preserve">DEW322         </t>
  </si>
  <si>
    <t xml:space="preserve">338322                         </t>
  </si>
  <si>
    <t xml:space="preserve">DEW330 USB (Partner)                                                                                 </t>
  </si>
  <si>
    <t xml:space="preserve">DEW330 USB     </t>
  </si>
  <si>
    <t xml:space="preserve">338330                         </t>
  </si>
  <si>
    <t xml:space="preserve">DEW331 (Partner)                                                                                     </t>
  </si>
  <si>
    <t xml:space="preserve">DEW331         </t>
  </si>
  <si>
    <t xml:space="preserve">338331                         </t>
  </si>
  <si>
    <t xml:space="preserve">DEW330 (PL) (Partner)                                                                                </t>
  </si>
  <si>
    <t xml:space="preserve">DEW330 (PL)    </t>
  </si>
  <si>
    <t xml:space="preserve">338332                         </t>
  </si>
  <si>
    <t xml:space="preserve">DEW330-OEM                                                                                           </t>
  </si>
  <si>
    <t xml:space="preserve">DEW330-OEM     </t>
  </si>
  <si>
    <t xml:space="preserve">338333                         </t>
  </si>
  <si>
    <t xml:space="preserve">DEW333-OEM Software                                                                                  </t>
  </si>
  <si>
    <t xml:space="preserve">DEW333-OEM     </t>
  </si>
  <si>
    <t xml:space="preserve">338334                         </t>
  </si>
  <si>
    <t xml:space="preserve">DEW333 (Partner) Software                                                                            </t>
  </si>
  <si>
    <t xml:space="preserve">DEW333         </t>
  </si>
  <si>
    <t xml:space="preserve">338335                         </t>
  </si>
  <si>
    <t xml:space="preserve">DEW333 (FR) USB Software                                                                             </t>
  </si>
  <si>
    <t>DEW333 (FR) USB</t>
  </si>
  <si>
    <t xml:space="preserve">338336                         </t>
  </si>
  <si>
    <t xml:space="preserve">DEW333-L Software                                                                                    </t>
  </si>
  <si>
    <t xml:space="preserve">DEW333-L       </t>
  </si>
  <si>
    <t xml:space="preserve">338337                         </t>
  </si>
  <si>
    <t xml:space="preserve">DEW333-GCL                                                                                           </t>
  </si>
  <si>
    <t xml:space="preserve">DEW333-GCL     </t>
  </si>
  <si>
    <t xml:space="preserve">338338                         </t>
  </si>
  <si>
    <t>(Partner) Software</t>
  </si>
  <si>
    <t>DEW340</t>
  </si>
  <si>
    <t>338440</t>
  </si>
  <si>
    <t xml:space="preserve">EMS-100 ORCApower (Monthly Fee) Min. 2 yr contract                                                   </t>
  </si>
  <si>
    <t xml:space="preserve">EMS-100        </t>
  </si>
  <si>
    <t xml:space="preserve">339100                         </t>
  </si>
  <si>
    <t xml:space="preserve">DWS-322 Thin Client Web S.Ware-Site License.                                                         </t>
  </si>
  <si>
    <t>DWS-322-ORCAweb</t>
  </si>
  <si>
    <t xml:space="preserve">339322                         </t>
  </si>
  <si>
    <t xml:space="preserve">DWS-323-ORCAweb                                                                                      </t>
  </si>
  <si>
    <t>DWS-323-ORCAweb</t>
  </si>
  <si>
    <t xml:space="preserve">339323                         </t>
  </si>
  <si>
    <t xml:space="preserve">DHS-330 USB (Historian Server, ORCAview OWS)                                                         </t>
  </si>
  <si>
    <t xml:space="preserve">DHS-330 USB    </t>
  </si>
  <si>
    <t xml:space="preserve">339330                         </t>
  </si>
  <si>
    <t xml:space="preserve">DHS330-O USB (Hist Server,ORCAview OWS¹,ODBC,DDE)                                                    </t>
  </si>
  <si>
    <t xml:space="preserve">DHS330-0 USB   </t>
  </si>
  <si>
    <t xml:space="preserve">339331                         </t>
  </si>
  <si>
    <t xml:space="preserve">DHS330 (PL) (Historian-Large, ORCAview OWS)                                                          </t>
  </si>
  <si>
    <t xml:space="preserve">DHS330 (PL)    </t>
  </si>
  <si>
    <t xml:space="preserve">339332                         </t>
  </si>
  <si>
    <t xml:space="preserve">DHS330-O (PL) (Hist-Large,ORCAview OWS¹,ODBC,DDE)                                                    </t>
  </si>
  <si>
    <t xml:space="preserve">DHS330-O (PL)  </t>
  </si>
  <si>
    <t xml:space="preserve">339333                         </t>
  </si>
  <si>
    <t xml:space="preserve">DHS-333  (Historian Server, ORCAview OWS)                                                            </t>
  </si>
  <si>
    <t xml:space="preserve">DHS-333        </t>
  </si>
  <si>
    <t xml:space="preserve">339334                         </t>
  </si>
  <si>
    <t xml:space="preserve">DHWS-333  (Historian-Large, ORCAweb Large, ORCAview OWS)                                             </t>
  </si>
  <si>
    <t xml:space="preserve">DHWS-333       </t>
  </si>
  <si>
    <t xml:space="preserve">339335                         </t>
  </si>
  <si>
    <t xml:space="preserve">DHS333-O (Hist Server, ORCAview OWS, ODBC, DDE)                                                      </t>
  </si>
  <si>
    <t xml:space="preserve">DHS333-O       </t>
  </si>
  <si>
    <t xml:space="preserve">339336                         </t>
  </si>
  <si>
    <t xml:space="preserve">Demo Kit Key                                                                                         </t>
  </si>
  <si>
    <t xml:space="preserve">Demo Kit Key   </t>
  </si>
  <si>
    <t xml:space="preserve">340300                         </t>
  </si>
  <si>
    <t xml:space="preserve">DOW321-U OWS CD Upgrade                                                                              </t>
  </si>
  <si>
    <t xml:space="preserve">DOW321-U       </t>
  </si>
  <si>
    <t xml:space="preserve">340321                         </t>
  </si>
  <si>
    <t xml:space="preserve">DOW322-U  ORCAview Upgrade Kit to V3.22                                                              </t>
  </si>
  <si>
    <t xml:space="preserve">DOW322-U       </t>
  </si>
  <si>
    <t xml:space="preserve">340322                         </t>
  </si>
  <si>
    <t xml:space="preserve">DWS330-U  Delta Webserver Software Upgrade Kit                                                       </t>
  </si>
  <si>
    <t>DWS330-U UG.Kit</t>
  </si>
  <si>
    <t xml:space="preserve">340329                         </t>
  </si>
  <si>
    <t xml:space="preserve">DOW330-U  ORCAview Upgrade Kit to V3.30                                                              </t>
  </si>
  <si>
    <t xml:space="preserve">DOW330-U       </t>
  </si>
  <si>
    <t xml:space="preserve">340330                         </t>
  </si>
  <si>
    <t xml:space="preserve">DOW333-U  ORCAview Upgrade Kit to V3.33                                                              </t>
  </si>
  <si>
    <t xml:space="preserve">DOW333-U       </t>
  </si>
  <si>
    <t xml:space="preserve">340331                         </t>
  </si>
  <si>
    <t xml:space="preserve">DWS333-U  ORCAweb Upgrade Kit to V3.33                                                               </t>
  </si>
  <si>
    <t xml:space="preserve">DWS333-U       </t>
  </si>
  <si>
    <t xml:space="preserve">340332                         </t>
  </si>
  <si>
    <t xml:space="preserve">DOW350-U OWS CD Upgrade                                                                              </t>
  </si>
  <si>
    <t xml:space="preserve">DOW350-U       </t>
  </si>
  <si>
    <t xml:space="preserve">340350                         </t>
  </si>
  <si>
    <t xml:space="preserve">DOW351-U V320 OWS CD Upgrade                                                                         </t>
  </si>
  <si>
    <t xml:space="preserve">DOW351-U       </t>
  </si>
  <si>
    <t xml:space="preserve">340351                         </t>
  </si>
  <si>
    <t xml:space="preserve">Replacement Software Key                                                                             </t>
  </si>
  <si>
    <t xml:space="preserve">Software Key   </t>
  </si>
  <si>
    <t xml:space="preserve">341090                         </t>
  </si>
  <si>
    <t xml:space="preserve">Programming Fee                                                                                      </t>
  </si>
  <si>
    <t xml:space="preserve">Programming    </t>
  </si>
  <si>
    <t xml:space="preserve">341091                         </t>
  </si>
  <si>
    <t xml:space="preserve">Replacement Software Lock - USB                                                                      </t>
  </si>
  <si>
    <t>USB Replace Loc</t>
  </si>
  <si>
    <t xml:space="preserve">341092                         </t>
  </si>
  <si>
    <t xml:space="preserve">DFF099-KEY Flash loader Firmware Key c/w 50CR already included                                       </t>
  </si>
  <si>
    <t xml:space="preserve">DFF099-KEY     </t>
  </si>
  <si>
    <t xml:space="preserve">DFF099-CDT Flash Loader Credits - Add. CR (Multiples of 50) [Can not be purchased without 341110]    </t>
  </si>
  <si>
    <t xml:space="preserve">DFF099-CDT     </t>
  </si>
  <si>
    <t xml:space="preserve">341111                         </t>
  </si>
  <si>
    <t xml:space="preserve">YAS331  Analyst Large                                                                                </t>
  </si>
  <si>
    <t xml:space="preserve">YAS331         </t>
  </si>
  <si>
    <t xml:space="preserve">341330                         </t>
  </si>
  <si>
    <t xml:space="preserve">DOW321E (Ethernet &amp; Serial)                                                                          </t>
  </si>
  <si>
    <t xml:space="preserve">DOW321E        </t>
  </si>
  <si>
    <t xml:space="preserve">342100                         </t>
  </si>
  <si>
    <t xml:space="preserve">DOW321D (DDE,Ethernet,Serial)                                                                        </t>
  </si>
  <si>
    <t xml:space="preserve">DOW321D        </t>
  </si>
  <si>
    <t xml:space="preserve">342101                         </t>
  </si>
  <si>
    <t xml:space="preserve">DOW321I (Illustrator,Enet,Serial)                                                                    </t>
  </si>
  <si>
    <t xml:space="preserve">DOW321I        </t>
  </si>
  <si>
    <t xml:space="preserve">342110                         </t>
  </si>
  <si>
    <t xml:space="preserve">DOW321F  (Illust.DDE,Enet,Serial)                                                                    </t>
  </si>
  <si>
    <t xml:space="preserve">DOW321F        </t>
  </si>
  <si>
    <t xml:space="preserve">342111                         </t>
  </si>
  <si>
    <t xml:space="preserve">DOW322E (Enet and Serial)                                                                            </t>
  </si>
  <si>
    <t xml:space="preserve">DOW322E        </t>
  </si>
  <si>
    <t xml:space="preserve">343100                         </t>
  </si>
  <si>
    <t xml:space="preserve">DOW322D (DDE, Enet, Serial)                                                                          </t>
  </si>
  <si>
    <t xml:space="preserve">DOW322D        </t>
  </si>
  <si>
    <t xml:space="preserve">343101                         </t>
  </si>
  <si>
    <t xml:space="preserve">DOW322I (Illustrator/Enet/Serial)                                                                    </t>
  </si>
  <si>
    <t xml:space="preserve">DOW322I        </t>
  </si>
  <si>
    <t xml:space="preserve">343110                         </t>
  </si>
  <si>
    <t xml:space="preserve">DOW322F (Illus/DDE/Enet/Serial)                                                                      </t>
  </si>
  <si>
    <t xml:space="preserve">DOW322F        </t>
  </si>
  <si>
    <t xml:space="preserve">343111                         </t>
  </si>
  <si>
    <t xml:space="preserve">DOW330 USB (ORCAview OWS, Enet)                                                                      </t>
  </si>
  <si>
    <t xml:space="preserve">DOW330 USB     </t>
  </si>
  <si>
    <t xml:space="preserve">344000                         </t>
  </si>
  <si>
    <t xml:space="preserve">DOW330-HS USB (ORCAview OWS, Historian-Small)                                                        </t>
  </si>
  <si>
    <t xml:space="preserve">DOW330-HS USB  </t>
  </si>
  <si>
    <t xml:space="preserve">344001                         </t>
  </si>
  <si>
    <t xml:space="preserve">DOW330-HM USB (ORCAview OWS, Historian-Medium)                                                       </t>
  </si>
  <si>
    <t xml:space="preserve">DOW330-HM USB  </t>
  </si>
  <si>
    <t xml:space="preserve">344002                         </t>
  </si>
  <si>
    <t xml:space="preserve">DOW330-I USB (Orcaview OWS,Illustrator)                                                              </t>
  </si>
  <si>
    <t xml:space="preserve">DOW330-I USB   </t>
  </si>
  <si>
    <t xml:space="preserve">344010                         </t>
  </si>
  <si>
    <t xml:space="preserve">DOW330-HS-I USB (ORCAview OWS, Hist-Small, Illust)                                                   </t>
  </si>
  <si>
    <t>DOW330-HS-I USB</t>
  </si>
  <si>
    <t xml:space="preserve">344011                         </t>
  </si>
  <si>
    <t xml:space="preserve">DOW330-HM-I USB (ORCAview OWS,Hist-Medium,Illust)                                                    </t>
  </si>
  <si>
    <t>DOW330-HM-I USB</t>
  </si>
  <si>
    <t xml:space="preserve">344012                         </t>
  </si>
  <si>
    <t xml:space="preserve">DOW330-O USB (ORCAview OWS, ODBC, DDE)                                                               </t>
  </si>
  <si>
    <t xml:space="preserve">DOW330-O USB   </t>
  </si>
  <si>
    <t xml:space="preserve">344100                         </t>
  </si>
  <si>
    <t xml:space="preserve">DOW330-HS-O USB (ORCAview OWS, Hist-Smll,ODBC,DDE)                                                   </t>
  </si>
  <si>
    <t>DOW330-HS-O USB</t>
  </si>
  <si>
    <t xml:space="preserve">344101                         </t>
  </si>
  <si>
    <t xml:space="preserve">DOW330-HM-O USB (ORCAview OWS,Historian-Medium,ODBC,DDE)                                             </t>
  </si>
  <si>
    <t>DOW330-HM-O USB</t>
  </si>
  <si>
    <t xml:space="preserve">344102                         </t>
  </si>
  <si>
    <t xml:space="preserve">DOW330-I-O USB (ORCAview OWS,Illustrator,ODBC,DDE)                                                   </t>
  </si>
  <si>
    <t xml:space="preserve">DOW330-I-O USB </t>
  </si>
  <si>
    <t xml:space="preserve">344110                         </t>
  </si>
  <si>
    <t xml:space="preserve">DOW330-HS-I-O USB  (ORCAview OWS,Hist-Sm,Illus,ODBC,DDE)                                             </t>
  </si>
  <si>
    <t>DOW330-HSIO USB</t>
  </si>
  <si>
    <t xml:space="preserve">344111                         </t>
  </si>
  <si>
    <t xml:space="preserve">DOW330-HM-I-O USB (ORCAview OWS,Hist-Med,Illust,ODBC,DDE)                                            </t>
  </si>
  <si>
    <t>DOW330HM-IO USB</t>
  </si>
  <si>
    <t xml:space="preserve">344112                         </t>
  </si>
  <si>
    <t xml:space="preserve">DWS330-S USB (ORCAweb-Small, ORCAview OWS)                                                           </t>
  </si>
  <si>
    <t xml:space="preserve">DWS330-S USB   </t>
  </si>
  <si>
    <t xml:space="preserve">345000                         </t>
  </si>
  <si>
    <t xml:space="preserve">DWS330-M  USB (ORCAweb-Med.,Illus ,ORCAview OWS)                                                     </t>
  </si>
  <si>
    <t xml:space="preserve">DWS330-M USB   </t>
  </si>
  <si>
    <t xml:space="preserve">345001                         </t>
  </si>
  <si>
    <t xml:space="preserve">DWS330-L USB (ORCAweb-Large, Illus, ORCAweb)                                                         </t>
  </si>
  <si>
    <t xml:space="preserve">DWS330-L USB   </t>
  </si>
  <si>
    <t xml:space="preserve">345002                         </t>
  </si>
  <si>
    <t xml:space="preserve">DWS330-S-O USB (ORCAweb-Small,ORCAview OWS,ODBC,DDE)                                                 </t>
  </si>
  <si>
    <t xml:space="preserve">DWS330-S-O USB </t>
  </si>
  <si>
    <t xml:space="preserve">345010                         </t>
  </si>
  <si>
    <t xml:space="preserve">DWS330-M-O USB (ORCAweb-Medium, Illus, ORCAview OWS,ODBC,DDE)                                        </t>
  </si>
  <si>
    <t xml:space="preserve">DWS330-M-O USB </t>
  </si>
  <si>
    <t xml:space="preserve">345011                         </t>
  </si>
  <si>
    <t xml:space="preserve">DWS330-L-O USB (ORCAweb-Large, Illus, ORCAview OWS, ODBC, DDE)                                       </t>
  </si>
  <si>
    <t xml:space="preserve">DWS330-L-O USB </t>
  </si>
  <si>
    <t xml:space="preserve">345012                         </t>
  </si>
  <si>
    <t xml:space="preserve">DWS330-S-HS USB (ORCAweb-Small, ORCAview OWS, Historian-Small)                                       </t>
  </si>
  <si>
    <t>DWS330-S-HS USB</t>
  </si>
  <si>
    <t xml:space="preserve">345100                         </t>
  </si>
  <si>
    <t xml:space="preserve">DWS330-M-HS USB (ORCAweb-Medium,Illus, Hist-Small)                                                   </t>
  </si>
  <si>
    <t>DWS330-M-HS USB</t>
  </si>
  <si>
    <t xml:space="preserve">345101                         </t>
  </si>
  <si>
    <t xml:space="preserve"> </t>
  </si>
  <si>
    <t xml:space="preserve">DWS330-L-HS USB (ORCAweb-Large, Illus, ORCAview OWS, Hist-Small)                                     </t>
  </si>
  <si>
    <t>DWS330-L-HS USB</t>
  </si>
  <si>
    <t xml:space="preserve">345102                         </t>
  </si>
  <si>
    <t xml:space="preserve">DWS330-S-O-HS USB (ORCAweb-Small,ORCAview OWS,ODBC,DDE,Hist-Small)                                   </t>
  </si>
  <si>
    <t>DWS330-SOHS USB</t>
  </si>
  <si>
    <t xml:space="preserve">345110                         </t>
  </si>
  <si>
    <t xml:space="preserve">DWS330-M-O-HS USB (ORCAweb-Med,Illus,ORCAview OWS,ODBC,DDE,HistSmall)                                </t>
  </si>
  <si>
    <t>DWS330-MOHS USB</t>
  </si>
  <si>
    <t xml:space="preserve">345111                         </t>
  </si>
  <si>
    <t xml:space="preserve">DWS330-L-O-HS USB (ORCAweb-Lrge,Illus,ORCAview OWS,ODBC,DDE,HistSmall)                               </t>
  </si>
  <si>
    <t>DWS330-LOHS USB</t>
  </si>
  <si>
    <t xml:space="preserve">345112                         </t>
  </si>
  <si>
    <t xml:space="preserve">DWS330-S-HM USB (ORCAweb-Small,ORCAviewOWS,Historian-Medium)                                         </t>
  </si>
  <si>
    <t>DWS330-S-HM USB</t>
  </si>
  <si>
    <t xml:space="preserve">345200                         </t>
  </si>
  <si>
    <t xml:space="preserve">DWS330-M-HM USB (ORCAweb-Medium,ORCAview OWS,Illus,Hist-Medium)                                      </t>
  </si>
  <si>
    <t>DWS330-M-HM USB</t>
  </si>
  <si>
    <t xml:space="preserve">345201                         </t>
  </si>
  <si>
    <t xml:space="preserve">DWS330-L-HM USB (ORCAweb-Large,Illus,ORCAview OWS,Hist-Medium)                                       </t>
  </si>
  <si>
    <t>DWS330-L-HM USB</t>
  </si>
  <si>
    <t xml:space="preserve">345202                         </t>
  </si>
  <si>
    <t xml:space="preserve">DWS330-S-O-HM USB (ORCAweb-Small,ORCAview OWS,ODBC,DDE,Hist-Med)                                     </t>
  </si>
  <si>
    <t>DWS330-SOHM USB</t>
  </si>
  <si>
    <t xml:space="preserve">345210                         </t>
  </si>
  <si>
    <t xml:space="preserve">DWS330-M-O-HM USB (ORCAweb-Med,Illus,ORCAview OWS,ODBC,DDE,Hst-Med)                                  </t>
  </si>
  <si>
    <t>DWS330-MOHM USB</t>
  </si>
  <si>
    <t xml:space="preserve">345211                         </t>
  </si>
  <si>
    <t xml:space="preserve">DWS330-L-O-HM USB (ORCAweb-Large,Illus,ORCAview OWS,ODBC,DDE,Hst-Md)                                 </t>
  </si>
  <si>
    <t>DWS330-LOHM USB</t>
  </si>
  <si>
    <t xml:space="preserve">345212                         </t>
  </si>
  <si>
    <t xml:space="preserve">DOW333-LT                                                                                            </t>
  </si>
  <si>
    <t xml:space="preserve">DOW333-LT      </t>
  </si>
  <si>
    <t xml:space="preserve">345599                         </t>
  </si>
  <si>
    <t xml:space="preserve">DOW333 USB (ORCAview OWS, Enet)                                                                      </t>
  </si>
  <si>
    <t xml:space="preserve">DOW333 USB     </t>
  </si>
  <si>
    <t xml:space="preserve">345600                         </t>
  </si>
  <si>
    <t xml:space="preserve">DOW333-GCL USB                                                                                       </t>
  </si>
  <si>
    <t xml:space="preserve">DOW333-GCL USB </t>
  </si>
  <si>
    <t xml:space="preserve">345601                         </t>
  </si>
  <si>
    <t xml:space="preserve">DOW333-HS USB (ORCAview OWS, Historian-Small)                                                        </t>
  </si>
  <si>
    <t xml:space="preserve">DOW333-HS USB  </t>
  </si>
  <si>
    <t xml:space="preserve">345602                         </t>
  </si>
  <si>
    <t xml:space="preserve">DOW333-HM USB (ORCAview OWS, Historian-Medium)                                                       </t>
  </si>
  <si>
    <t xml:space="preserve">DOW333-HM USB  </t>
  </si>
  <si>
    <t xml:space="preserve">345603                         </t>
  </si>
  <si>
    <t xml:space="preserve">DOW333-HL USB (ORCAview OWS, Historian-Large)                                                        </t>
  </si>
  <si>
    <t xml:space="preserve">DOW333-HL USB  </t>
  </si>
  <si>
    <t xml:space="preserve">345604                         </t>
  </si>
  <si>
    <t xml:space="preserve">DOW333-I USB (Orcaview OWS,Illustrator)                                                              </t>
  </si>
  <si>
    <t xml:space="preserve">DOW333-I USB   </t>
  </si>
  <si>
    <t xml:space="preserve">345605                         </t>
  </si>
  <si>
    <t xml:space="preserve">DOW333-HS-I USB (ORCAview OWS, Hist-Small, Illust)                                                   </t>
  </si>
  <si>
    <t>DOW333-HS-I USB</t>
  </si>
  <si>
    <t xml:space="preserve">345606                         </t>
  </si>
  <si>
    <t xml:space="preserve">DOW333-HM-I USB  (ORCAview OWS,Hist-Medium,Illust)                                                   </t>
  </si>
  <si>
    <t>DOW333-HM-I USB</t>
  </si>
  <si>
    <t xml:space="preserve">345607                         </t>
  </si>
  <si>
    <t xml:space="preserve">DOW333-HL-I USB (ORCAview OWS,Hist-Large,Illust)                                                     </t>
  </si>
  <si>
    <t>DOW333-HL-I USB</t>
  </si>
  <si>
    <t xml:space="preserve">345608                         </t>
  </si>
  <si>
    <t xml:space="preserve">DOW333-O USB (ORCAview OWS, ODBC, DDE)                                                               </t>
  </si>
  <si>
    <t xml:space="preserve">DOW333-O USB   </t>
  </si>
  <si>
    <t xml:space="preserve">345609                         </t>
  </si>
  <si>
    <t xml:space="preserve">DOW333-HS-O USB (ORCAview OWS, Hist-Smll,ODBC,DDE)                                                   </t>
  </si>
  <si>
    <t>DOW333-HS-O USB</t>
  </si>
  <si>
    <t xml:space="preserve">345610                         </t>
  </si>
  <si>
    <t xml:space="preserve">DOW333-HM-O USB (ORCAview OWS,Historian-Medium,ODBC,DDE)                                             </t>
  </si>
  <si>
    <t>DOW333-HM-O USB</t>
  </si>
  <si>
    <t xml:space="preserve">345611                         </t>
  </si>
  <si>
    <t xml:space="preserve">DOW333-HL-O USB (ORCAview OWS,Historian-Large,ODBC,DDE)                                              </t>
  </si>
  <si>
    <t>DOW333-HL-O USB</t>
  </si>
  <si>
    <t xml:space="preserve">345612                         </t>
  </si>
  <si>
    <t xml:space="preserve">DOW333-I-O USB (ORCAview OWS,Illustrator,ODBC,DDE)                                                   </t>
  </si>
  <si>
    <t xml:space="preserve">DOW333-I-O USB </t>
  </si>
  <si>
    <t xml:space="preserve">345613                         </t>
  </si>
  <si>
    <t xml:space="preserve">DOW333-HS-I-O USB (ORCAview OWS,Hist-Sm,Illus,ODBC,DDE)                                              </t>
  </si>
  <si>
    <t>DOW333HS-IO USB</t>
  </si>
  <si>
    <t xml:space="preserve">345614                         </t>
  </si>
  <si>
    <t xml:space="preserve">DOW333-HM-I-O USB (ORCAview OWS,Hist-Med,Illust,ODBC,DDE)                                            </t>
  </si>
  <si>
    <t>DOW333HM-IO USB</t>
  </si>
  <si>
    <t xml:space="preserve">345615                         </t>
  </si>
  <si>
    <t xml:space="preserve">DOW333-HL-I-O USB (ORCAview OWS,Hist-Large,Illust,ODBC,DDE)                                          </t>
  </si>
  <si>
    <t>DOW333HL-IO USB</t>
  </si>
  <si>
    <t xml:space="preserve">345616                         </t>
  </si>
  <si>
    <t xml:space="preserve">DWS333-S USB (ORCAweb-Small, ORCAview OWS)                                                           </t>
  </si>
  <si>
    <t xml:space="preserve">DWS333-S USB   </t>
  </si>
  <si>
    <t xml:space="preserve">345617                         </t>
  </si>
  <si>
    <t xml:space="preserve">DWS333-M USB ORCAweb-Med.,Illus ,ORCAview OWS)                                                       </t>
  </si>
  <si>
    <t xml:space="preserve">DWS333-M USB   </t>
  </si>
  <si>
    <t xml:space="preserve">345618                         </t>
  </si>
  <si>
    <t xml:space="preserve">DWS333-L USB (ORCAweb-Large, Illus, ORCAweb)                                                         </t>
  </si>
  <si>
    <t xml:space="preserve">DWS333-L USB   </t>
  </si>
  <si>
    <t xml:space="preserve">345619                         </t>
  </si>
  <si>
    <t xml:space="preserve">DWS333-S-O USB (ORCAweb-Small,ORCAview OWS,ODBC,DDE)                                                 </t>
  </si>
  <si>
    <t xml:space="preserve">DWS333-S-O USB </t>
  </si>
  <si>
    <t xml:space="preserve">345620                         </t>
  </si>
  <si>
    <t xml:space="preserve">DWS333-M-O USB (ORCAweb-Medium, Illus, ORCAview OWS,ODBC,DDE)                                        </t>
  </si>
  <si>
    <t xml:space="preserve">DWS333-M-O USB </t>
  </si>
  <si>
    <t xml:space="preserve">345621                         </t>
  </si>
  <si>
    <t xml:space="preserve">DWS333-L-O USB (ORCAweb-Large, Illus, ORCAview OWS, ODBC, DDE)                                       </t>
  </si>
  <si>
    <t xml:space="preserve">DWS333-L-O USB </t>
  </si>
  <si>
    <t xml:space="preserve">345622                         </t>
  </si>
  <si>
    <t xml:space="preserve">DWS333-S-HS USB (ORCAweb-Small, ORCAview OWS, Historian-Small)                                       </t>
  </si>
  <si>
    <t>DWS333-S-HS USB</t>
  </si>
  <si>
    <t xml:space="preserve">345623                         </t>
  </si>
  <si>
    <t xml:space="preserve">DWS333-M-HS USB ORCAweb-Medium,Illus, Hist-Small)                                                    </t>
  </si>
  <si>
    <t>DWS333-M-HS USB</t>
  </si>
  <si>
    <t xml:space="preserve">345624                         </t>
  </si>
  <si>
    <t xml:space="preserve">DWS333-L-HS USB (ORCAweb-Large, Illus, ORCAview OWS, Hist-Small)                                     </t>
  </si>
  <si>
    <t>DWS333-L-HS USB</t>
  </si>
  <si>
    <t xml:space="preserve">345625                         </t>
  </si>
  <si>
    <t xml:space="preserve">DWS333-S-O-HS USB (ORCAweb-Small,ORCAview OWS,ODBC,DDE,Hist-Small)                                   </t>
  </si>
  <si>
    <t>DWS333-SOHS USB</t>
  </si>
  <si>
    <t xml:space="preserve">345626                         </t>
  </si>
  <si>
    <t xml:space="preserve">DWS333-M-O-HS USB (ORCAweb-Med,Illus,ORCAview OWS,ODBC,DDE,HistSmall)                                </t>
  </si>
  <si>
    <t>DWS333-MOHS USB</t>
  </si>
  <si>
    <t xml:space="preserve">345627                         </t>
  </si>
  <si>
    <t xml:space="preserve">DWS333-L-O-HS USB (ORCAweb-Lrge,Illus,ORCAview OWS,ODBC,DDE,HistSmall)                               </t>
  </si>
  <si>
    <t>DWS333-LOHS USB</t>
  </si>
  <si>
    <t xml:space="preserve">345628                         </t>
  </si>
  <si>
    <t xml:space="preserve">DWS333-S-HM USB (ORCAweb-Small,ORCAviewOWS,Historian-Medium)                                         </t>
  </si>
  <si>
    <t>DWS333-S-HM USB</t>
  </si>
  <si>
    <t xml:space="preserve">345629                         </t>
  </si>
  <si>
    <t xml:space="preserve">DWS333-M-HM USB (ORCAweb-Medium,ORCAview OWS,Illus,Hist-Medium)                                      </t>
  </si>
  <si>
    <t>DWS333-M-HM USB</t>
  </si>
  <si>
    <t xml:space="preserve">345630                         </t>
  </si>
  <si>
    <t xml:space="preserve">DWS333-L-HM USB (ORCAweb-Large,Illus,ORCAview OWS,Hist-Medium)                                       </t>
  </si>
  <si>
    <t>DWS333-L-HM USB</t>
  </si>
  <si>
    <t xml:space="preserve">345631                         </t>
  </si>
  <si>
    <t xml:space="preserve">DWS333-S-O-HM USB (ORCAweb-Small,ORCAview OWS,ODBC,DDE,Hist-Med)                                     </t>
  </si>
  <si>
    <t>DWS333-SOHM USB</t>
  </si>
  <si>
    <t xml:space="preserve">345632                         </t>
  </si>
  <si>
    <t xml:space="preserve">DWS333-M-O-HM USB (ORCAweb-Med,Illus,ORCAview OWS,ODBC,DDE,Hst-Med)                                  </t>
  </si>
  <si>
    <t>DWS333-MOHM USB</t>
  </si>
  <si>
    <t xml:space="preserve">345633                         </t>
  </si>
  <si>
    <t xml:space="preserve">DWS333-L-O-HM USB (ORCAweb-Large,Illus,ORCAview OWS,ODBC,DDE,Hist-Med)                               </t>
  </si>
  <si>
    <t>DWS333-LOHM USB</t>
  </si>
  <si>
    <t xml:space="preserve">345634                         </t>
  </si>
  <si>
    <t xml:space="preserve">DWS333-S-HL USB (ORCAweb-Small, ORCAview OWS,DDE,Hist-Large)                                         </t>
  </si>
  <si>
    <t>DWS333-S-HL USB</t>
  </si>
  <si>
    <t xml:space="preserve">345635                         </t>
  </si>
  <si>
    <t xml:space="preserve">DWS333-M-HL USB (ORCAweb-Med,Illus,ORCAview OWS,DDE,Hist-Large)                                      </t>
  </si>
  <si>
    <t>DWS333-M-HL USB</t>
  </si>
  <si>
    <t xml:space="preserve">345636                         </t>
  </si>
  <si>
    <t xml:space="preserve">DWS333-L-HL USB (ORCAweb-Large,Illus,ORCAview OWS,DDE,Hist-Large)                                    </t>
  </si>
  <si>
    <t>DWS333-L-HL USB</t>
  </si>
  <si>
    <t xml:space="preserve">345637                         </t>
  </si>
  <si>
    <t xml:space="preserve">DWS333-S-O-HL USB (ORCAweb-Small,ORCAview OWS,ODBC,DDE,Hist-Large)                                   </t>
  </si>
  <si>
    <t>DWS333-SOHL USB</t>
  </si>
  <si>
    <t xml:space="preserve">345638                         </t>
  </si>
  <si>
    <t xml:space="preserve">DWS333-M-O-HL USB (ORCAweb-Med,ORCAview OWS,ODBC,DDE,Hist-Large)                                     </t>
  </si>
  <si>
    <t>DWS333-MOHL USB</t>
  </si>
  <si>
    <t xml:space="preserve">345639                         </t>
  </si>
  <si>
    <t xml:space="preserve">DWS333-L-O-HL USB (ORCAweb-Large,ORCAview OWS,ODBC,DDE,Hist-Large)                                   </t>
  </si>
  <si>
    <t>DWS333-LOHL USB</t>
  </si>
  <si>
    <t xml:space="preserve">345640                         </t>
  </si>
  <si>
    <t xml:space="preserve">YOW331 ConneXsys OWS                                                                                 </t>
  </si>
  <si>
    <t xml:space="preserve">YOW331         </t>
  </si>
  <si>
    <t xml:space="preserve">346000                         </t>
  </si>
  <si>
    <t xml:space="preserve">YOW331-I ConneXsys OWS, Illustrator                                                                  </t>
  </si>
  <si>
    <t xml:space="preserve">YOW331-I       </t>
  </si>
  <si>
    <t xml:space="preserve">346001                         </t>
  </si>
  <si>
    <t xml:space="preserve">YOW331-AS ConneXsys OWS, Analyst Small                                                               </t>
  </si>
  <si>
    <t xml:space="preserve">346002                         </t>
  </si>
  <si>
    <t xml:space="preserve">YOW331-I-AS ConneXsys OWS, Analyst Small, Illust.                                                    </t>
  </si>
  <si>
    <t xml:space="preserve">YOW331-I-AS    </t>
  </si>
  <si>
    <t xml:space="preserve">346010                         </t>
  </si>
  <si>
    <t xml:space="preserve">YOW331-I-AM  ConneXsys OWS, Analyst-Medium, Illust                                                   </t>
  </si>
  <si>
    <t xml:space="preserve">YOW331-I-AM    </t>
  </si>
  <si>
    <t xml:space="preserve">346012                         </t>
  </si>
  <si>
    <t xml:space="preserve">YOW331-AM ConneXsys OWS, Analyst-Medium                                                              </t>
  </si>
  <si>
    <t xml:space="preserve">YOW331-AM      </t>
  </si>
  <si>
    <t xml:space="preserve">346101                         </t>
  </si>
  <si>
    <t xml:space="preserve">YWS331-S    ConneXsys, Web Small                                                                     </t>
  </si>
  <si>
    <t xml:space="preserve">YWS331-S       </t>
  </si>
  <si>
    <t xml:space="preserve">347000                         </t>
  </si>
  <si>
    <t xml:space="preserve">YWS331-M  ConneXsys,  Web Medium                                                                     </t>
  </si>
  <si>
    <t xml:space="preserve">YWS331-M       </t>
  </si>
  <si>
    <t xml:space="preserve">347001                         </t>
  </si>
  <si>
    <t xml:space="preserve">YWS331-L  ConneXsys, Web Large                                                                       </t>
  </si>
  <si>
    <t xml:space="preserve">YWS331-L       </t>
  </si>
  <si>
    <t xml:space="preserve">347002                         </t>
  </si>
  <si>
    <t xml:space="preserve">YWS331-S-AS   ConneXsys, Web Small, Analyst Small                                                    </t>
  </si>
  <si>
    <t xml:space="preserve">YWS331-S-AS    </t>
  </si>
  <si>
    <t xml:space="preserve">347100                         </t>
  </si>
  <si>
    <t xml:space="preserve">YWS331-M-AS   ConneXsys, Web Medium, Analyst Small                                                   </t>
  </si>
  <si>
    <t xml:space="preserve">YWS331-M-AS    </t>
  </si>
  <si>
    <t xml:space="preserve">347101                         </t>
  </si>
  <si>
    <t xml:space="preserve">YWS331-L-AS  ConneXsys, Web Large, Analyst Small                                                     </t>
  </si>
  <si>
    <t xml:space="preserve">YWS331-L-AS    </t>
  </si>
  <si>
    <t xml:space="preserve">347102                         </t>
  </si>
  <si>
    <t xml:space="preserve">YWS331-S-AM   ConneXsys, Web Small, Analyst Medium                                                   </t>
  </si>
  <si>
    <t xml:space="preserve">YWS331-S-AM    </t>
  </si>
  <si>
    <t xml:space="preserve">347200                         </t>
  </si>
  <si>
    <t xml:space="preserve">YWS331-M-AM  ConneXsys, Web Medium, Analyst Medium                                                   </t>
  </si>
  <si>
    <t xml:space="preserve">YWS331-M-AM    </t>
  </si>
  <si>
    <t xml:space="preserve">347201                         </t>
  </si>
  <si>
    <t xml:space="preserve">YWS331-L-AM  ConneXsys, Web Large, Analyst Medium                                                    </t>
  </si>
  <si>
    <t xml:space="preserve">YWS331-L-AM    </t>
  </si>
  <si>
    <t xml:space="preserve">347202                         </t>
  </si>
  <si>
    <t xml:space="preserve">YEW331  (OEM Partner)                                                                                </t>
  </si>
  <si>
    <t xml:space="preserve">YEW331         </t>
  </si>
  <si>
    <t xml:space="preserve">347330                         </t>
  </si>
  <si>
    <t xml:space="preserve">Venmar CxA Software                                                                                  </t>
  </si>
  <si>
    <t>Venmar Software</t>
  </si>
  <si>
    <t xml:space="preserve">347332                         </t>
  </si>
  <si>
    <t xml:space="preserve">A9090000 - UPOR-UCT-OWS333 (Uponor UCT Software Package)                                             </t>
  </si>
  <si>
    <t>UPOR-UCT-OWS333</t>
  </si>
  <si>
    <t xml:space="preserve">347333                         </t>
  </si>
  <si>
    <t xml:space="preserve">Thermo Matrix Software                                                                               </t>
  </si>
  <si>
    <t>Thermo Software</t>
  </si>
  <si>
    <t xml:space="preserve">347334                         </t>
  </si>
  <si>
    <t xml:space="preserve">Price ORCAlite Software                                                                              </t>
  </si>
  <si>
    <t xml:space="preserve">Price Software </t>
  </si>
  <si>
    <t xml:space="preserve">347335                         </t>
  </si>
  <si>
    <t xml:space="preserve">DWS230-S USB (ORCAweb-Small, ORCAview OWS)                                                           </t>
  </si>
  <si>
    <t xml:space="preserve">DWS230-S USB   </t>
  </si>
  <si>
    <t xml:space="preserve">348012                         </t>
  </si>
  <si>
    <t xml:space="preserve">DEW230 USB (Partner)                                                                                 </t>
  </si>
  <si>
    <t xml:space="preserve">DEW230 USB     </t>
  </si>
  <si>
    <t xml:space="preserve">348030                         </t>
  </si>
  <si>
    <t xml:space="preserve">DOW330 (FR) USB (ORCAview OWS, Enet)                                                                 </t>
  </si>
  <si>
    <t>DOW330 (FR) USB</t>
  </si>
  <si>
    <t xml:space="preserve">348040                         </t>
  </si>
  <si>
    <t xml:space="preserve">DOW330-HM (FR) USB (ORCAview OWS, Historian-Medium)                                                  </t>
  </si>
  <si>
    <t>DOW330HM(FR)USB</t>
  </si>
  <si>
    <t xml:space="preserve">348041                         </t>
  </si>
  <si>
    <t xml:space="preserve">DOW330-HM-I (FR) USB (ORCAview OWS,Hist-Medium,Illust)                                               </t>
  </si>
  <si>
    <t>DOW330HMI FRUSB</t>
  </si>
  <si>
    <t xml:space="preserve">348042                         </t>
  </si>
  <si>
    <t xml:space="preserve">DOW330-HM-I-O ( FR) USB ORCAviewOWSHistMedIllustODBC,DDE                                             </t>
  </si>
  <si>
    <t>DOW330HMIOFRUSB</t>
  </si>
  <si>
    <t xml:space="preserve">348043                         </t>
  </si>
  <si>
    <t xml:space="preserve">DOW330-HS (FR) USB (ORCAview OWS, Historian-Small)                                                   </t>
  </si>
  <si>
    <t>DOW330HS FR USB</t>
  </si>
  <si>
    <t xml:space="preserve">348044                         </t>
  </si>
  <si>
    <t xml:space="preserve">DOW330-HS-O (FR) USB (ORCAview OWS, Hist-Smll,ODBC,DDE)                                              </t>
  </si>
  <si>
    <t>DOW330HSO FRUSB</t>
  </si>
  <si>
    <t xml:space="preserve">348045                         </t>
  </si>
  <si>
    <t xml:space="preserve">DOW330-I (FR) USB (Orcaview OWS,Illustrator)                                                         </t>
  </si>
  <si>
    <t>DOW330-I FR USB</t>
  </si>
  <si>
    <t xml:space="preserve">348046                         </t>
  </si>
  <si>
    <t xml:space="preserve">DOW330-O (FR) USB (ORCAview OWS, ODBC, DDE)                                                          </t>
  </si>
  <si>
    <t>DOW330-O FR USB</t>
  </si>
  <si>
    <t xml:space="preserve">348047                         </t>
  </si>
  <si>
    <t xml:space="preserve">DOW330-U (FR)                                                                                        </t>
  </si>
  <si>
    <t xml:space="preserve">DOW330-U (FR)  </t>
  </si>
  <si>
    <t xml:space="preserve">348048                         </t>
  </si>
  <si>
    <t xml:space="preserve">DEW330 (FR) USB (Partner)                                                                            </t>
  </si>
  <si>
    <t>DEW330 (FR) USB</t>
  </si>
  <si>
    <t xml:space="preserve">348049                         </t>
  </si>
  <si>
    <t xml:space="preserve">DOW333 (FR) USB (ORCAview OWS, Enet)                                                                 </t>
  </si>
  <si>
    <t>DOW333 (FR) USB</t>
  </si>
  <si>
    <t xml:space="preserve">348050                         </t>
  </si>
  <si>
    <t xml:space="preserve">DOW333-HS (FR) USB (ORCAview OWS, Historian-Small)                                                   </t>
  </si>
  <si>
    <t xml:space="preserve">DOW333-HS (FR) </t>
  </si>
  <si>
    <t xml:space="preserve">348051                         </t>
  </si>
  <si>
    <t xml:space="preserve">DOW333-I (FR) USB (Orcaview OWS,Illustrator)                                                         </t>
  </si>
  <si>
    <t xml:space="preserve">DOW333-I (FR)  </t>
  </si>
  <si>
    <t xml:space="preserve">348052                         </t>
  </si>
  <si>
    <t xml:space="preserve">DOW333-HM-I (FR) USB  (ORCAview OWS,Hist-Medium,Illust)                                              </t>
  </si>
  <si>
    <t>DOW333HM-I (FR)</t>
  </si>
  <si>
    <t xml:space="preserve">348054                         </t>
  </si>
  <si>
    <t xml:space="preserve">DOW333-HL (FR) USB (ORCAview OWS, Historian-Large)                                                   </t>
  </si>
  <si>
    <t xml:space="preserve">DOW333-HL (FR) </t>
  </si>
  <si>
    <t xml:space="preserve">348055                         </t>
  </si>
  <si>
    <t xml:space="preserve">DOW333-HM (FR) USB (ORCAview OWS, Historian-Medium)                                                  </t>
  </si>
  <si>
    <t xml:space="preserve">DOW333-HM (FR) </t>
  </si>
  <si>
    <t xml:space="preserve">348056                         </t>
  </si>
  <si>
    <t xml:space="preserve">DOW333-O (FR) USB (ORCAview OWS, ODBC, DDE)                                                          </t>
  </si>
  <si>
    <t xml:space="preserve">DOW333-O (FR)  </t>
  </si>
  <si>
    <t xml:space="preserve">348057                         </t>
  </si>
  <si>
    <t xml:space="preserve">DNT-T305 (RC, 1Thermistor ,3IP, 5BO ,BACnet,MS/TP)                                                   </t>
  </si>
  <si>
    <t xml:space="preserve">DNT-T305 PCB   </t>
  </si>
  <si>
    <t xml:space="preserve">350400                         </t>
  </si>
  <si>
    <t xml:space="preserve">DNT-405                                                                                              </t>
  </si>
  <si>
    <t xml:space="preserve">DNT-405 PCB    </t>
  </si>
  <si>
    <t xml:space="preserve">350403                         </t>
  </si>
  <si>
    <t xml:space="preserve">ASM-24E-322 Access Controller w/Ethernet - V322                                                      </t>
  </si>
  <si>
    <t xml:space="preserve">ASM-24E-322    </t>
  </si>
  <si>
    <t xml:space="preserve">361024                         </t>
  </si>
  <si>
    <t xml:space="preserve">UL294-ASM-24E V3.30  Access Controller with Ethernet                                                 </t>
  </si>
  <si>
    <t xml:space="preserve">UL294-ASM-24E  </t>
  </si>
  <si>
    <t xml:space="preserve">361124                         </t>
  </si>
  <si>
    <t xml:space="preserve">UL294-ADM-2W704  Linknet Door Controller                                                             </t>
  </si>
  <si>
    <t>UL294-ADM-2W704</t>
  </si>
  <si>
    <t xml:space="preserve">362705                         </t>
  </si>
  <si>
    <t xml:space="preserve">DXC052-4 Ethernet PC104 all Ports                                                                    </t>
  </si>
  <si>
    <t xml:space="preserve">DXC052-4       </t>
  </si>
  <si>
    <t xml:space="preserve">371524                         </t>
  </si>
  <si>
    <t xml:space="preserve">DXC052-5 10BaseT Ethernet PC104                                                                      </t>
  </si>
  <si>
    <t xml:space="preserve">DXC052-5       </t>
  </si>
  <si>
    <t xml:space="preserve">371525                         </t>
  </si>
  <si>
    <t xml:space="preserve">eBM-440-HN (Module 4xUI, 4xAO with NonAdjustable HOA)                                                </t>
  </si>
  <si>
    <t xml:space="preserve">eBM-440-HN     </t>
  </si>
  <si>
    <t xml:space="preserve">375600                         </t>
  </si>
  <si>
    <t xml:space="preserve">enteliBUS Module - 4xUI, 4xAO with HAO &amp; 0-100% Adj Levers                                           </t>
  </si>
  <si>
    <t xml:space="preserve">eBM-440-M      </t>
  </si>
  <si>
    <t xml:space="preserve">375601                         </t>
  </si>
  <si>
    <t xml:space="preserve">enteliBUS Module - 4xUI, 4xAO                                                                        </t>
  </si>
  <si>
    <t xml:space="preserve">eBM-440        </t>
  </si>
  <si>
    <t xml:space="preserve">375602                         </t>
  </si>
  <si>
    <t xml:space="preserve">enteliBUS Module - 2xUIwithPWR and 2x LV Relays w HAO                                                </t>
  </si>
  <si>
    <t xml:space="preserve">eBM-200R2-H    </t>
  </si>
  <si>
    <t xml:space="preserve">375603                         </t>
  </si>
  <si>
    <t xml:space="preserve">enteliBUS Module - 4xUI, 4xTriac Outputs with HAO                                                    </t>
  </si>
  <si>
    <t xml:space="preserve">eBM-404-H      </t>
  </si>
  <si>
    <t xml:space="preserve">375604                         </t>
  </si>
  <si>
    <t xml:space="preserve">enteliBUS Module - 4xUI, 4xTriac Outputs                                                             </t>
  </si>
  <si>
    <t xml:space="preserve">eBM-404        </t>
  </si>
  <si>
    <t xml:space="preserve">375605                         </t>
  </si>
  <si>
    <t xml:space="preserve">enteliBUS Module - 8x UI                                                                             </t>
  </si>
  <si>
    <t xml:space="preserve">eBM-800        </t>
  </si>
  <si>
    <t xml:space="preserve">375606                         </t>
  </si>
  <si>
    <t>enteliBUS Module - 4xUI, 4xCurrent Outputs with HOA 0-100% Adj Levers</t>
  </si>
  <si>
    <t xml:space="preserve">eBM-440I-M </t>
  </si>
  <si>
    <t>eBM-440I enteliBUS Module - 4xUI, 4xCurrent Outputs</t>
  </si>
  <si>
    <t>eBM-440I</t>
  </si>
  <si>
    <t xml:space="preserve">375608                         </t>
  </si>
  <si>
    <t>enteliBUS Module - 4x Digital Inputs, 4x Relay outputs with HAO</t>
  </si>
  <si>
    <t xml:space="preserve">eBM-D400R4-H </t>
  </si>
  <si>
    <t>eBM-D400-R4 enteliBUS</t>
  </si>
  <si>
    <t>eBM-D400-R4</t>
  </si>
  <si>
    <t xml:space="preserve">eBM-D800 - enteliBUS Module - 8x Digital Inputs                                                      </t>
  </si>
  <si>
    <t xml:space="preserve">eBM-D800       </t>
  </si>
  <si>
    <t xml:space="preserve">375613                         </t>
  </si>
  <si>
    <t>eBM-R800-1K enteliBUS</t>
  </si>
  <si>
    <t xml:space="preserve">eBM-R800-1K </t>
  </si>
  <si>
    <t>eBM-000 enteliBUS Module Blank</t>
  </si>
  <si>
    <t>eBM-000</t>
  </si>
  <si>
    <t>I/O Module (Universal I/O 0-10v, 0-5v, 10k input or 0-10v output 20mA source, 2mA sink)</t>
  </si>
  <si>
    <t>O3-DIN-8xP</t>
  </si>
  <si>
    <t>Lighting Module (DALI Interface with 100mA DALI Power Supply)</t>
  </si>
  <si>
    <t>O3-DIN-DALI</t>
  </si>
  <si>
    <t>Room Controller Access Module (UL294 Certified, Access, Single Door)</t>
  </si>
  <si>
    <t>O3-DIN-ACCESS</t>
  </si>
  <si>
    <t xml:space="preserve"> Room Controller Power Module</t>
  </si>
  <si>
    <t>O3-DIN-PWRINJ</t>
  </si>
  <si>
    <t>Room Controller PoE Module</t>
  </si>
  <si>
    <t xml:space="preserve">O3-DIN-POE </t>
  </si>
  <si>
    <t>Room Controller Communication</t>
  </si>
  <si>
    <t xml:space="preserve">O3-DIN-SMI </t>
  </si>
  <si>
    <t xml:space="preserve"> Room Controller Module</t>
  </si>
  <si>
    <t>O3-DIN-4F4xP</t>
  </si>
  <si>
    <t xml:space="preserve"> I/O Module</t>
  </si>
  <si>
    <t xml:space="preserve"> I/O Module </t>
  </si>
  <si>
    <t>Red5-MODULE-4F4xP</t>
  </si>
  <si>
    <t>Red5-MODULE-8xP</t>
  </si>
  <si>
    <t xml:space="preserve"> Lighting Module (DALI Interface with 100mA DALI </t>
  </si>
  <si>
    <t>Red5-MODULE-DALI</t>
  </si>
  <si>
    <t xml:space="preserve">DPM065-10 LED I/O Module (Green LED)                                                                 </t>
  </si>
  <si>
    <t xml:space="preserve">DPM065-10      </t>
  </si>
  <si>
    <t xml:space="preserve">376510                         </t>
  </si>
  <si>
    <t xml:space="preserve">DPM065-11 LED I/O Module (Green LED&amp;HOA)                                                             </t>
  </si>
  <si>
    <t xml:space="preserve">DPM065-11      </t>
  </si>
  <si>
    <t xml:space="preserve">376511                         </t>
  </si>
  <si>
    <t xml:space="preserve">DPM065-20 Actuator Module (Red&amp;Green LED)                                                            </t>
  </si>
  <si>
    <t xml:space="preserve">DPM065-20      </t>
  </si>
  <si>
    <t xml:space="preserve">376520                         </t>
  </si>
  <si>
    <t xml:space="preserve">DPM065-22 Actuator Module (R&amp;GLED&amp;HOA&amp;POT                                                            </t>
  </si>
  <si>
    <t xml:space="preserve">DPM065-22      </t>
  </si>
  <si>
    <t xml:space="preserve">376522                         </t>
  </si>
  <si>
    <t xml:space="preserve">DPM065-30 Triac I/O Module (Green LED)                                                               </t>
  </si>
  <si>
    <t xml:space="preserve">DPM065-30      </t>
  </si>
  <si>
    <t xml:space="preserve">376530                         </t>
  </si>
  <si>
    <t xml:space="preserve">DPM065-31 Triac I/O Module (GLED&amp;HOA)                                                                </t>
  </si>
  <si>
    <t xml:space="preserve">DPM065-31      </t>
  </si>
  <si>
    <t xml:space="preserve">376531                         </t>
  </si>
  <si>
    <t xml:space="preserve">DPM065-32 Triac I/O Module (LED&amp;HOA&amp;POT)                                                             </t>
  </si>
  <si>
    <t xml:space="preserve">DPM065-32      </t>
  </si>
  <si>
    <t xml:space="preserve">376532                         </t>
  </si>
  <si>
    <t xml:space="preserve">DPM065-40 Relay I/O Module (Green LED)                                                               </t>
  </si>
  <si>
    <t xml:space="preserve">DPM065-40      </t>
  </si>
  <si>
    <t xml:space="preserve">376540                         </t>
  </si>
  <si>
    <t xml:space="preserve">DPM065-41 Relay I/O Module (GLED&amp;HOA)                                                                </t>
  </si>
  <si>
    <t xml:space="preserve">DPM065-41      </t>
  </si>
  <si>
    <t xml:space="preserve">376541                         </t>
  </si>
  <si>
    <t xml:space="preserve">DPM065-42 Relay I/O Module (LED&amp;HOA&amp;POT)                                                             </t>
  </si>
  <si>
    <t xml:space="preserve">DPM065-42      </t>
  </si>
  <si>
    <t xml:space="preserve">376542                         </t>
  </si>
  <si>
    <t xml:space="preserve">DPM065-50 Input I/O Module (R&amp;GLED)                                                                  </t>
  </si>
  <si>
    <t xml:space="preserve">DPM065-50      </t>
  </si>
  <si>
    <t xml:space="preserve">376550                         </t>
  </si>
  <si>
    <t xml:space="preserve">DPM065-51 Input I/O Module (R&amp;GLED&amp;HOA)                                                              </t>
  </si>
  <si>
    <t xml:space="preserve">DPM065-51      </t>
  </si>
  <si>
    <t xml:space="preserve">376551                         </t>
  </si>
  <si>
    <t xml:space="preserve">DPM065-52 Input I/O Module (R&amp;GLED&amp;HOA&amp;PO                                                            </t>
  </si>
  <si>
    <t xml:space="preserve">DPM065-52      </t>
  </si>
  <si>
    <t xml:space="preserve">376552                         </t>
  </si>
  <si>
    <t xml:space="preserve">DUK798-050-1 DCU050 Upgrade Kit                                                                      </t>
  </si>
  <si>
    <t xml:space="preserve">DUK798-050-1   </t>
  </si>
  <si>
    <t xml:space="preserve">397798                         </t>
  </si>
  <si>
    <t xml:space="preserve">DUK798-060-1 DBB060 Upgrade Kit                                                                      </t>
  </si>
  <si>
    <t xml:space="preserve">DUK798-060-1   </t>
  </si>
  <si>
    <t xml:space="preserve">397799                         </t>
  </si>
  <si>
    <t xml:space="preserve">DUK798-100-11 DEB100-1 Upgrade Kit                                                                   </t>
  </si>
  <si>
    <t xml:space="preserve">DUK798-100-11  </t>
  </si>
  <si>
    <t xml:space="preserve">397800                         </t>
  </si>
  <si>
    <t xml:space="preserve">DUK798-100-21 DEB100-2 Upgrade Kit                                                                   </t>
  </si>
  <si>
    <t xml:space="preserve">DUK798-100-21  </t>
  </si>
  <si>
    <t xml:space="preserve">397801                         </t>
  </si>
  <si>
    <t xml:space="preserve">DUK798-101-1 DEB101 Upgrade Kit                                                                      </t>
  </si>
  <si>
    <t xml:space="preserve">DUK798-101-1   </t>
  </si>
  <si>
    <t xml:space="preserve">397802                         </t>
  </si>
  <si>
    <t xml:space="preserve">DUK798-102-1 DEB102 Upgrade Kit                                                                      </t>
  </si>
  <si>
    <t xml:space="preserve">DUK798-102-1   </t>
  </si>
  <si>
    <t xml:space="preserve">397803                         </t>
  </si>
  <si>
    <t xml:space="preserve">DCK790-2 V3 DCU050 Expandable SRAM Kit (4MB).                                                        </t>
  </si>
  <si>
    <t xml:space="preserve">DCK790-2       </t>
  </si>
  <si>
    <t xml:space="preserve">397813                         </t>
  </si>
  <si>
    <t>Duct Temp Sensor, 8" Stainless Steel Probe, Steel J-Box Enclosure</t>
  </si>
  <si>
    <t xml:space="preserve">BA/10K-3-D-8" </t>
  </si>
  <si>
    <t>Duct Temp/Humidity Sensor</t>
  </si>
  <si>
    <t>BA/10K-3-H200-D-BB</t>
  </si>
  <si>
    <t>Pitot Probe Assembly 3.5"</t>
  </si>
  <si>
    <t xml:space="preserve">ZPS-ACC11 </t>
  </si>
  <si>
    <t>Beck pressure switch, 30 -400PA</t>
  </si>
  <si>
    <t>BA/APSW4</t>
  </si>
  <si>
    <t>Resonate Occupancy Ceiling Sensor, 1800 sq. ft., 902 MHz</t>
  </si>
  <si>
    <t>RCS-B-UW</t>
  </si>
  <si>
    <t>005-7074 , Single Decorator Style Switch, Ivory, 902 MHz</t>
  </si>
  <si>
    <t>PTM265UV</t>
  </si>
  <si>
    <t>005-7252 , Single Paddle Resonate Wave Switch, White, 902 MHz</t>
  </si>
  <si>
    <t xml:space="preserve">ETRS1U-W </t>
  </si>
  <si>
    <t>(JACE 8000 and Niagara Edge 10 34 Point IO (14022))</t>
  </si>
  <si>
    <t>IO-R-34</t>
  </si>
  <si>
    <t>(JACE 8000 Controller)</t>
  </si>
  <si>
    <t>JACE-8000</t>
  </si>
  <si>
    <t xml:space="preserve"> (INT) Delta branded JACE 8000</t>
  </si>
  <si>
    <t>JACE-8000-WW</t>
  </si>
  <si>
    <t>AQW, ANALOG, 2% RH SENSOR, 10K2 THERMISTOR</t>
  </si>
  <si>
    <t>AQW-AABAAE1</t>
  </si>
  <si>
    <t>PULSE TO ANALOG TRANSMITTER</t>
  </si>
  <si>
    <t>PWA-1A</t>
  </si>
  <si>
    <t>Duct Temperature Sensor, 10K Type III Thermistor, 9.00" Probe, No Enclosure</t>
  </si>
  <si>
    <t>ST-D3</t>
  </si>
  <si>
    <t>Immersion Temperature Sensor, 10K type III</t>
  </si>
  <si>
    <t>ST-W3</t>
  </si>
  <si>
    <t>Stainless Steel Sheath Sensor</t>
  </si>
  <si>
    <t xml:space="preserve">ST-R3SC </t>
  </si>
  <si>
    <t>Room, CO2, NDIR dual beam, c/w analog outputs , and exposed LCD display</t>
  </si>
  <si>
    <t>CDD4B101</t>
  </si>
  <si>
    <t>CO detector, 5% electrochemical, Room, 0-300 PPM range 4-20mA output</t>
  </si>
  <si>
    <t>CMD5B1000</t>
  </si>
  <si>
    <t>Dewpoint Transmitter,Duct,Polycarbonate w/hinged &amp; gasketed cover,Voltage 0-5, 0-10 Vdc</t>
  </si>
  <si>
    <t>DWDTBV</t>
  </si>
  <si>
    <t>Duct CO2 sensor</t>
  </si>
  <si>
    <t xml:space="preserve">A/CO2-DUCT </t>
  </si>
  <si>
    <t>iCLASS SE R10 Contactless Smart Card Reader, Mini-Mullion</t>
  </si>
  <si>
    <t>900NMNNEKMA001</t>
  </si>
  <si>
    <t>Carbon Dioxide Sensor, Wall Mount, 4-20 mA</t>
  </si>
  <si>
    <t>KCO2-W-A</t>
  </si>
  <si>
    <t>OS-1 OXYGEN SENSOR 4-20MA / 0-25%</t>
  </si>
  <si>
    <t xml:space="preserve">OXYGEN SENSOR </t>
  </si>
  <si>
    <t xml:space="preserve"> Photocell, 4-20ma Output, 12-24vdc, Outdoor, Conduit Mount, Ambient Light Sensing</t>
  </si>
  <si>
    <t>MK7-B-CR-VTI</t>
  </si>
  <si>
    <t xml:space="preserve"> Line Voltage DC Power Supply</t>
  </si>
  <si>
    <t>DRC-24V60W1AZ</t>
  </si>
  <si>
    <t>Line Voltage DC Power Supply DRC-24V100W1AZ</t>
  </si>
  <si>
    <t>DRC-24V100W1AZ</t>
  </si>
  <si>
    <t xml:space="preserve">DLK980-20 RC Connection Insert &amp; I/O Labeling Kit.                                                   </t>
  </si>
  <si>
    <t xml:space="preserve">DLK980-20      </t>
  </si>
  <si>
    <t xml:space="preserve">577066                         </t>
  </si>
  <si>
    <t>Red5-PLUS-606</t>
  </si>
  <si>
    <t>DCW1312607</t>
  </si>
  <si>
    <t>Red5-PLUS-634</t>
  </si>
  <si>
    <t>DCW1312634</t>
  </si>
  <si>
    <t>Red5-FIELD-1146</t>
  </si>
  <si>
    <t>DCW1322146</t>
  </si>
  <si>
    <t>DCRed5-EDGE-1146</t>
  </si>
  <si>
    <t>DCW1322151</t>
  </si>
  <si>
    <t>Red5-FIELD-1180</t>
  </si>
  <si>
    <t>DCW1322180</t>
  </si>
  <si>
    <t>DCRed5-EDGE-1180</t>
  </si>
  <si>
    <t>DCW1322182</t>
  </si>
  <si>
    <t xml:space="preserve"> SILVER web panel, 10.1" touch</t>
  </si>
  <si>
    <t>enteliVIEW-10</t>
  </si>
  <si>
    <t>DCW1920800</t>
  </si>
  <si>
    <t>WALL-MOUNT for enteliVIEW-10</t>
  </si>
  <si>
    <t xml:space="preserve">VESA 100 </t>
  </si>
  <si>
    <t>DCW1920801</t>
  </si>
  <si>
    <t>Room Controller Expander</t>
  </si>
  <si>
    <t>Red5-EXPAND-04</t>
  </si>
  <si>
    <t>DCW1375721</t>
  </si>
  <si>
    <t>eZNS-T100H</t>
  </si>
  <si>
    <t>eWEB CD</t>
  </si>
  <si>
    <t>enteliZONE Fan Coil Controller</t>
  </si>
  <si>
    <t>eZFCP-424R4-24</t>
  </si>
  <si>
    <t>DCW1323426</t>
  </si>
  <si>
    <t>Single Room Controller</t>
  </si>
  <si>
    <t>DCW1311708</t>
  </si>
  <si>
    <t xml:space="preserve"> Controller</t>
  </si>
  <si>
    <t>Red5-FIELD-606</t>
  </si>
  <si>
    <t>DCW1322604</t>
  </si>
  <si>
    <t>Red5-FIELD-634</t>
  </si>
  <si>
    <t>DCW1322638</t>
  </si>
  <si>
    <t>CT, Split Core, Size 4, 1000A</t>
  </si>
  <si>
    <t xml:space="preserve">H6812-1000A-5A </t>
  </si>
  <si>
    <t>DCW1465330</t>
  </si>
  <si>
    <t xml:space="preserve"> CT,Split Core,Size 4, 5.5in x 2.5in ID,1200A:5A</t>
  </si>
  <si>
    <t>H6812-1200A-5A</t>
  </si>
  <si>
    <t>DCW1410084</t>
  </si>
  <si>
    <t>CT,SplitCore,Instrument Grade,5.5in x 2.5in ID, 1600A to 5A</t>
  </si>
  <si>
    <t xml:space="preserve">H6812-1600A-5A </t>
  </si>
  <si>
    <t>DCW1435067</t>
  </si>
  <si>
    <t xml:space="preserve"> CT, Split Core, Size 4, 800A</t>
  </si>
  <si>
    <t>H6812-800A-5A</t>
  </si>
  <si>
    <t>Current Transformer</t>
  </si>
  <si>
    <t>H6811-400A-5A</t>
  </si>
  <si>
    <t>DCW1411046</t>
  </si>
  <si>
    <t>Split-Core CT, 100 Amps</t>
  </si>
  <si>
    <t>CTS-100</t>
  </si>
  <si>
    <t>DCW1405757</t>
  </si>
  <si>
    <t>LEVEL SENSOR, 1-1/2 IN G, 4-20 MA W/HART</t>
  </si>
  <si>
    <t>LR83-0310</t>
  </si>
  <si>
    <t>DCW1499338</t>
  </si>
  <si>
    <t>ADAPTER, 1 1/2IN NPT TO 1 1/2IN TRI-CLAMP</t>
  </si>
  <si>
    <t>LM53-1S80</t>
  </si>
  <si>
    <t>DCW1499343</t>
  </si>
  <si>
    <t>CAP REDUCER, 1 1/2IN NPT TO 2IN NPT, PTFE</t>
  </si>
  <si>
    <t>LM53-2440</t>
  </si>
  <si>
    <t>DCW1499344</t>
  </si>
  <si>
    <t>SAFETY BARRIER 28V +250 OHM</t>
  </si>
  <si>
    <t>MTL7788R+</t>
  </si>
  <si>
    <t>DCW1499345</t>
  </si>
  <si>
    <t>250 OHM 3 WATT 1% RESISTOR LONG LEADS</t>
  </si>
  <si>
    <t>250R-3-1</t>
  </si>
  <si>
    <t>DCW1499346</t>
  </si>
  <si>
    <t>1.5 AMP POWER SUPPLY</t>
  </si>
  <si>
    <t>DCP-1.5-W</t>
  </si>
  <si>
    <t>DCW1499738</t>
  </si>
  <si>
    <t>CT, Split Core, Size 3, 600A</t>
  </si>
  <si>
    <t>H6811-600A</t>
  </si>
  <si>
    <t>DCW1465328</t>
  </si>
  <si>
    <t>CT Instrument Grade 200A</t>
  </si>
  <si>
    <t>H6810-200A</t>
  </si>
  <si>
    <t>PS3HD-R-D-N</t>
  </si>
  <si>
    <t>DCW1408054</t>
  </si>
  <si>
    <t>CCS-231150</t>
  </si>
  <si>
    <t>DCW1903500</t>
  </si>
  <si>
    <t>UPS850</t>
  </si>
  <si>
    <t>DCW1403657</t>
  </si>
  <si>
    <t xml:space="preserve">15.76lbs </t>
  </si>
  <si>
    <t xml:space="preserve">RED5 - BACKUP </t>
  </si>
  <si>
    <t>DCW272704</t>
  </si>
  <si>
    <t>Smoke detector with Photoelectric</t>
  </si>
  <si>
    <t xml:space="preserve">SM-501-P </t>
  </si>
  <si>
    <t>Field Adjustable Differential Pressure</t>
  </si>
  <si>
    <t xml:space="preserve">AFS-222 </t>
  </si>
  <si>
    <t>CO Detector Relay Output</t>
  </si>
  <si>
    <t xml:space="preserve">KCOP-R-H-50PPM </t>
  </si>
  <si>
    <t>Differential Low-Pressure Transmitter</t>
  </si>
  <si>
    <t xml:space="preserve">DPA3-1 </t>
  </si>
  <si>
    <t>Platinum RTD Duct Sensor, 100 ohm RTD (3-wire), 8", NEMA 4X</t>
  </si>
  <si>
    <t xml:space="preserve">A/100-3W-D-8"-4X </t>
  </si>
  <si>
    <t>NA Wall Mount Humidity / Temperature Transmitter w/2% accuracy &amp; LCD</t>
  </si>
  <si>
    <t xml:space="preserve">RHP-2N44-LCD </t>
  </si>
  <si>
    <t xml:space="preserve">AC power transformer, 240VAC </t>
  </si>
  <si>
    <t xml:space="preserve">APT-75-2SB </t>
  </si>
  <si>
    <t>Air Duct Temperature Sensor 4 inch probe</t>
  </si>
  <si>
    <t xml:space="preserve">TE-DFG-A0444-00 </t>
  </si>
  <si>
    <t xml:space="preserve"> Adjustable differential pressure</t>
  </si>
  <si>
    <t>ADPS-04-2-N-C</t>
  </si>
  <si>
    <t xml:space="preserve"> Installer kit(includes 2 static pressure) </t>
  </si>
  <si>
    <t>A-481</t>
  </si>
  <si>
    <t xml:space="preserve"> Smoke Detector 4-Wire Photoelectric Duct</t>
  </si>
  <si>
    <t>D4120</t>
  </si>
  <si>
    <t>Mex</t>
  </si>
  <si>
    <t>Air Differential Pressure Transmitter, Multi-Range, ±0.5%, 0-10" WC, ±10" WC, 4-20 mA, 0-5</t>
  </si>
  <si>
    <t xml:space="preserve">DPA3-10 </t>
  </si>
  <si>
    <t>US</t>
  </si>
  <si>
    <t xml:space="preserve"> Duct Sensor Smoke Detector</t>
  </si>
  <si>
    <t>SL-2000-P</t>
  </si>
  <si>
    <t>Media Converter</t>
  </si>
  <si>
    <t>CON-T1L</t>
  </si>
  <si>
    <t>CA</t>
  </si>
  <si>
    <t>Carbon Monoxide Sensor, Analog Output, Hinged-Cover Enclosure</t>
  </si>
  <si>
    <t xml:space="preserve">KCOP-A-H </t>
  </si>
  <si>
    <t>DCW1499935</t>
  </si>
  <si>
    <t xml:space="preserve"> Room Controller Access Module</t>
  </si>
  <si>
    <t>Red5-MODULE-1DOOR</t>
  </si>
  <si>
    <t>DCW1375720</t>
  </si>
  <si>
    <t>ELECTRIC SURFACE MOUNT THERMOSTAT</t>
  </si>
  <si>
    <t>141-0522</t>
  </si>
  <si>
    <t>DCW1471160</t>
  </si>
  <si>
    <t>Tech SrewDriver Package of 10</t>
  </si>
  <si>
    <t>BA/116BAPI 6 SrewDriver &amp; Allen   DCW1400157   0.55</t>
  </si>
  <si>
    <t>DCW1400159</t>
  </si>
  <si>
    <t>BAPI  ScrewDriver  Package of 10</t>
  </si>
  <si>
    <t>BA/116W BAPI</t>
  </si>
  <si>
    <t>DCW1400157</t>
  </si>
  <si>
    <t>LOYTEC L Gate -952</t>
  </si>
  <si>
    <t>LGATE-952 Universal Gateway Bacnet</t>
  </si>
  <si>
    <t>DCW1520038</t>
  </si>
  <si>
    <t>1lb</t>
  </si>
  <si>
    <t>LOYTEC LDALI-ME-U</t>
  </si>
  <si>
    <t>LDALI-ME202-U Dali Controller Bacnet   DCW1520063</t>
  </si>
  <si>
    <t>DCW1520063</t>
  </si>
  <si>
    <t>LOYTEC -LVIS-FRAME 12</t>
  </si>
  <si>
    <t>Mounting Frame for LVIS -3ME 12XX</t>
  </si>
  <si>
    <t>DCW1520007</t>
  </si>
  <si>
    <t>3.20lbs</t>
  </si>
  <si>
    <t>LOYTEC LVIS-3ME 12-A1</t>
  </si>
  <si>
    <t>TOUCH PANEL Aluminum</t>
  </si>
  <si>
    <t>DCW520000</t>
  </si>
  <si>
    <t>6.20lbs</t>
  </si>
  <si>
    <t>TRANSFORMER 75VA</t>
  </si>
  <si>
    <t xml:space="preserve">TR75VA005 </t>
  </si>
  <si>
    <t>DCW1403599</t>
  </si>
  <si>
    <t>3.75lbs</t>
  </si>
  <si>
    <t>TRANSFORMER  100VA</t>
  </si>
  <si>
    <t>TR100VA004</t>
  </si>
  <si>
    <t>DCW1403562</t>
  </si>
  <si>
    <t>4.45lbs</t>
  </si>
  <si>
    <t>DoorStrike  ElectricStrike</t>
  </si>
  <si>
    <t>L6504X32D</t>
  </si>
  <si>
    <t>DCW1422035</t>
  </si>
  <si>
    <t>1.45 lbs</t>
  </si>
  <si>
    <t>CO2, WALL,LCD, TEMP,XMTR,VOC</t>
  </si>
  <si>
    <t>CW2LAXAV</t>
  </si>
  <si>
    <t>DCW1465325</t>
  </si>
  <si>
    <t xml:space="preserve"> Nigara LON MODULE </t>
  </si>
  <si>
    <t>NPB-8000</t>
  </si>
  <si>
    <t>DCW1407047</t>
  </si>
  <si>
    <t>OUTS AirTemphum</t>
  </si>
  <si>
    <t>BA/10K-3-H200-0-BB</t>
  </si>
  <si>
    <t>DCW402203</t>
  </si>
  <si>
    <t>CO ROUGH SERVICE</t>
  </si>
  <si>
    <t>BA/BBV-CO</t>
  </si>
  <si>
    <t>DCW420341</t>
  </si>
  <si>
    <t>DUCT TEMP/HUM</t>
  </si>
  <si>
    <t>DCW400369</t>
  </si>
  <si>
    <t>ROOM SNSR 10K- 3 BRIGHT W</t>
  </si>
  <si>
    <t>BA/10K-3-R-BW</t>
  </si>
  <si>
    <t>DCW402143</t>
  </si>
  <si>
    <t>FIXED FRAME Pressure</t>
  </si>
  <si>
    <t>ZPS-10-FR84-BB-ST</t>
  </si>
  <si>
    <t>DCW402359</t>
  </si>
  <si>
    <t>8IN DUCT SENSOR</t>
  </si>
  <si>
    <t>BA/10K - 3-D-8IN-BB4</t>
  </si>
  <si>
    <t>DCW401848</t>
  </si>
  <si>
    <t>Rail Power Supply</t>
  </si>
  <si>
    <t>DRL-24V120W1</t>
  </si>
  <si>
    <t>DCW501538</t>
  </si>
  <si>
    <t>Static Pitot Tubes Aluminum) Package of 10</t>
  </si>
  <si>
    <t>SPT-3.5</t>
  </si>
  <si>
    <t>DCW1466056</t>
  </si>
  <si>
    <t>12" DUCT Temp Sensor</t>
  </si>
  <si>
    <t>BA/10K-3-D-12" -BBX</t>
  </si>
  <si>
    <t>DCW1402997</t>
  </si>
  <si>
    <t>DIFF PRESS SNSR FIELD</t>
  </si>
  <si>
    <t>BA/ZPM-SR-AT-ND</t>
  </si>
  <si>
    <t>DCW1400870</t>
  </si>
  <si>
    <t xml:space="preserve">SUBMERSIBLELEVEL </t>
  </si>
  <si>
    <t>SBLT2-10-40</t>
  </si>
  <si>
    <t>DCW1413068</t>
  </si>
  <si>
    <t>2.55 lbs</t>
  </si>
  <si>
    <t>Duct Humdity Sensor</t>
  </si>
  <si>
    <t>BA/H300-D-BB</t>
  </si>
  <si>
    <t>DCW1401102</t>
  </si>
  <si>
    <t>OUTS Airtemhum</t>
  </si>
  <si>
    <t>BA10K-3-H300-O-BB</t>
  </si>
  <si>
    <t>DCW1402202</t>
  </si>
  <si>
    <t>8IN" DUCT SENSOR</t>
  </si>
  <si>
    <t>BA/10K-3-D-8IN"-BB4</t>
  </si>
  <si>
    <t>DCW1401848</t>
  </si>
  <si>
    <t>Thermistor 10K</t>
  </si>
  <si>
    <t>BA-10K-3-I-4-BB4-MB</t>
  </si>
  <si>
    <t>DCW1401906</t>
  </si>
  <si>
    <t xml:space="preserve">DIFF Pressure Switch </t>
  </si>
  <si>
    <t>ADPS-03-2-N-C ADJ</t>
  </si>
  <si>
    <t>DCW1413697</t>
  </si>
  <si>
    <t>Paddle Flow Switch 1" Male NPT</t>
  </si>
  <si>
    <t xml:space="preserve">FS-2  </t>
  </si>
  <si>
    <t>DCW1413045</t>
  </si>
  <si>
    <t>1.60lbs</t>
  </si>
  <si>
    <t>DIFF AIR Press SNSR</t>
  </si>
  <si>
    <t>BA/ZPM-HR-ST-D-BB</t>
  </si>
  <si>
    <t>DCW1400794</t>
  </si>
  <si>
    <t>4 Conuctor Bare Copper</t>
  </si>
  <si>
    <t xml:space="preserve">002340 18 AWG </t>
  </si>
  <si>
    <t>DCW1464129</t>
  </si>
  <si>
    <t>23.65 lbs</t>
  </si>
  <si>
    <t xml:space="preserve">4 Pair Bare Copper </t>
  </si>
  <si>
    <t>8665610-24 AWG</t>
  </si>
  <si>
    <t>DCW1464283</t>
  </si>
  <si>
    <t>23.70 lbs</t>
  </si>
  <si>
    <t>2 Conductor Bare Copper</t>
  </si>
  <si>
    <t>002320- 18AWG</t>
  </si>
  <si>
    <t>DCW1464069</t>
  </si>
  <si>
    <t>37.30 lbs</t>
  </si>
  <si>
    <t>DVS-005R00 Industrial Temp Unmanaged Ethernet Switch</t>
  </si>
  <si>
    <t>MBUS-6 MBUS Hardware Interface for up to 6 meters</t>
  </si>
  <si>
    <t>MBUS-32 MBUS Hardware Interface for up to 32 meters</t>
  </si>
  <si>
    <t>MBUS-64 MBUS Hardware Interface for up to 64 meters</t>
  </si>
  <si>
    <t>SM-100 Handheld digital sound meter</t>
  </si>
  <si>
    <t>CSG Current/voltage calibrator</t>
  </si>
  <si>
    <t>enteliVIEW-10 SILVER web panel, 10.1" touch screen, Ethernet, power: PoE or 12V DC, Linux based</t>
  </si>
  <si>
    <t>enteliVIEW-10 SILVER web panel, 10.1" touch screen</t>
  </si>
  <si>
    <t>DRC-24V100W1RZ Chrome II Line Voltage DC Power Supply 24V 100W</t>
  </si>
  <si>
    <t>DVS-008I00C Unmanaged Industrial 8-Port Ethernet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</si>
</sst>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9">
    <font>
      <sz val="10"/>
      <color indexed="8"/>
      <name val="Arial"/>
    </font>
    <font>
      <sz val="8"/>
      <color indexed="8"/>
      <name val="Arial"/>
      <family val="2"/>
    </font>
    <font>
      <sz val="9"/>
      <name val="Segoe UI"/>
      <family val="2"/>
    </font>
    <font>
      <i/>
      <sz val="8"/>
      <color indexed="8"/>
      <name val="Arial"/>
      <family val="2"/>
    </font>
    <font>
      <sz val="8"/>
      <name val="Arial"/>
      <family val="2"/>
    </font>
    <font>
      <b/>
      <u/>
      <sz val="8"/>
      <color indexed="8"/>
      <name val="Arial"/>
      <family val="2"/>
    </font>
    <font>
      <sz val="8"/>
      <name val="Segoe UI"/>
      <family val="2"/>
    </font>
    <font>
      <sz val="9"/>
      <color indexed="8"/>
      <name val="CIDFont+F3"/>
    </font>
    <font>
      <sz val="9"/>
      <color indexed="8"/>
      <name val="Arial"/>
      <family val="2"/>
    </font>
    <font>
      <sz val="9"/>
      <color indexed="8"/>
      <name val="Segoe UI"/>
      <family val="2"/>
    </font>
    <font>
      <sz val="9"/>
      <color indexed="8"/>
      <name val="CIDFont+F4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8"/>
      <color rgb="FF000000"/>
      <name val="Segoe UI"/>
      <family val="2"/>
    </font>
    <font>
      <sz val="8"/>
      <color rgb="FF000000"/>
      <name val="Calibri"/>
      <family val="2"/>
    </font>
    <font>
      <sz val="8"/>
      <color rgb="FF212121"/>
      <name val="Segoe UI"/>
      <family val="2"/>
    </font>
    <font>
      <sz val="9"/>
      <color rgb="FF000000"/>
      <name val="Calibri"/>
      <family val="2"/>
    </font>
    <font>
      <sz val="9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2" fillId="0" borderId="0">
      <alignment vertical="center"/>
    </xf>
  </cellStyleXfs>
  <cellXfs count="5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2" fontId="1" fillId="3" borderId="1" xfId="0" applyNumberFormat="1" applyFont="1" applyFill="1" applyBorder="1" applyAlignment="1">
      <alignment horizontal="center" wrapText="1"/>
    </xf>
    <xf numFmtId="2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2" fillId="0" borderId="1" xfId="1" quotePrefix="1" applyFont="1" applyBorder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0" fontId="5" fillId="0" borderId="0" xfId="0" applyFont="1"/>
    <xf numFmtId="0" fontId="5" fillId="2" borderId="1" xfId="0" applyFont="1" applyFill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horizontal="center" wrapText="1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3" fillId="0" borderId="1" xfId="0" applyFont="1" applyBorder="1" applyAlignment="1">
      <alignment horizontal="center"/>
    </xf>
    <xf numFmtId="0" fontId="4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center" wrapText="1"/>
      <protection locked="0"/>
    </xf>
    <xf numFmtId="0" fontId="7" fillId="0" borderId="0" xfId="0" applyFont="1"/>
    <xf numFmtId="0" fontId="5" fillId="2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2" fillId="0" borderId="1" xfId="1" quotePrefix="1" applyFont="1" applyBorder="1"/>
    <xf numFmtId="0" fontId="1" fillId="3" borderId="1" xfId="0" applyFont="1" applyFill="1" applyBorder="1" applyAlignment="1">
      <alignment wrapText="1"/>
    </xf>
    <xf numFmtId="0" fontId="14" fillId="0" borderId="1" xfId="0" applyFont="1" applyBorder="1"/>
    <xf numFmtId="0" fontId="8" fillId="0" borderId="0" xfId="0" applyFont="1"/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5" fillId="0" borderId="1" xfId="0" applyFont="1" applyBorder="1"/>
    <xf numFmtId="0" fontId="16" fillId="0" borderId="1" xfId="0" applyFont="1" applyBorder="1"/>
    <xf numFmtId="0" fontId="8" fillId="0" borderId="1" xfId="0" applyFont="1" applyBorder="1" applyAlignment="1" applyProtection="1">
      <alignment horizontal="center"/>
      <protection locked="0"/>
    </xf>
    <xf numFmtId="0" fontId="17" fillId="0" borderId="1" xfId="0" applyFont="1" applyBorder="1"/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vertical="center" wrapText="1"/>
    </xf>
    <xf numFmtId="0" fontId="9" fillId="0" borderId="1" xfId="0" applyFont="1" applyBorder="1" applyAlignment="1">
      <alignment wrapText="1"/>
    </xf>
    <xf numFmtId="0" fontId="18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2" fillId="0" borderId="1" xfId="2" applyBorder="1">
      <alignment vertical="center"/>
    </xf>
    <xf numFmtId="0" fontId="2" fillId="0" borderId="1" xfId="2" applyBorder="1" applyAlignment="1">
      <alignment horizontal="center" vertical="center"/>
    </xf>
  </cellXfs>
  <cellStyles count="3">
    <cellStyle name="Normal" xfId="0" builtinId="0"/>
    <cellStyle name="Normal_Query11" xfId="1" xr:uid="{B7D38317-070B-45CD-9CAD-C0736A6DF8EE}"/>
    <cellStyle name="Normal_Query11_1" xfId="2" xr:uid="{8D7BD410-B1CB-4578-B0EE-327793635414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3228-86E5-41CD-BB00-0E6F6B22766F}">
  <dimension ref="A1:L859"/>
  <sheetViews>
    <sheetView tabSelected="1" zoomScale="130" zoomScaleNormal="130" workbookViewId="0">
      <pane ySplit="1" topLeftCell="A2" activePane="bottomLeft" state="frozen"/>
      <selection pane="bottomLeft" activeCell="K5" sqref="K5"/>
    </sheetView>
  </sheetViews>
  <sheetFormatPr defaultRowHeight="11.25"/>
  <cols>
    <col min="1" max="1" width="50.85546875" style="26" customWidth="1"/>
    <col min="2" max="2" width="38.42578125" style="1" customWidth="1"/>
    <col min="3" max="3" width="15.85546875" style="14" customWidth="1"/>
    <col min="4" max="4" width="7.28515625" style="15" bestFit="1" customWidth="1"/>
    <col min="5" max="5" width="5.85546875" style="14" customWidth="1"/>
    <col min="6" max="16384" width="9.140625" style="1"/>
  </cols>
  <sheetData>
    <row r="1" spans="1:5" s="18" customFormat="1" ht="13.5" customHeight="1">
      <c r="A1" s="19" t="s">
        <v>0</v>
      </c>
      <c r="B1" s="30" t="s">
        <v>1</v>
      </c>
      <c r="C1" s="16" t="s">
        <v>2</v>
      </c>
      <c r="D1" s="17" t="s">
        <v>3</v>
      </c>
      <c r="E1" s="16" t="s">
        <v>4</v>
      </c>
    </row>
    <row r="2" spans="1:5" ht="13.5" customHeight="1">
      <c r="A2" s="22" t="s">
        <v>5</v>
      </c>
      <c r="B2" s="31" t="s">
        <v>5</v>
      </c>
      <c r="C2" s="4">
        <v>101889</v>
      </c>
      <c r="D2" s="11">
        <v>2.35</v>
      </c>
      <c r="E2" s="4"/>
    </row>
    <row r="3" spans="1:5" ht="13.5" customHeight="1">
      <c r="A3" s="20" t="s">
        <v>6</v>
      </c>
      <c r="B3" s="32" t="s">
        <v>7</v>
      </c>
      <c r="C3" s="2" t="s">
        <v>8</v>
      </c>
      <c r="D3" s="3"/>
      <c r="E3" s="4"/>
    </row>
    <row r="4" spans="1:5" ht="13.5" customHeight="1">
      <c r="A4" s="20" t="s">
        <v>9</v>
      </c>
      <c r="B4" s="32" t="s">
        <v>10</v>
      </c>
      <c r="C4" s="2" t="s">
        <v>11</v>
      </c>
      <c r="D4" s="3"/>
      <c r="E4" s="4"/>
    </row>
    <row r="5" spans="1:5" ht="13.5" customHeight="1">
      <c r="A5" s="20" t="s">
        <v>12</v>
      </c>
      <c r="B5" s="32" t="s">
        <v>13</v>
      </c>
      <c r="C5" s="2" t="s">
        <v>14</v>
      </c>
      <c r="D5" s="3">
        <v>0.34</v>
      </c>
      <c r="E5" s="2" t="s">
        <v>15</v>
      </c>
    </row>
    <row r="6" spans="1:5" ht="13.5" customHeight="1">
      <c r="A6" s="20" t="s">
        <v>16</v>
      </c>
      <c r="B6" s="32" t="s">
        <v>17</v>
      </c>
      <c r="C6" s="2" t="s">
        <v>18</v>
      </c>
      <c r="D6" s="3">
        <v>0.22</v>
      </c>
      <c r="E6" s="4" t="s">
        <v>15</v>
      </c>
    </row>
    <row r="7" spans="1:5" ht="13.5" customHeight="1">
      <c r="A7" s="20" t="s">
        <v>19</v>
      </c>
      <c r="B7" s="32" t="s">
        <v>20</v>
      </c>
      <c r="C7" s="2" t="s">
        <v>21</v>
      </c>
      <c r="D7" s="3">
        <v>0.16</v>
      </c>
      <c r="E7" s="4" t="s">
        <v>15</v>
      </c>
    </row>
    <row r="8" spans="1:5" ht="13.5" customHeight="1">
      <c r="A8" s="20" t="s">
        <v>22</v>
      </c>
      <c r="B8" s="32" t="s">
        <v>23</v>
      </c>
      <c r="C8" s="2" t="s">
        <v>24</v>
      </c>
      <c r="D8" s="3">
        <v>0.34</v>
      </c>
      <c r="E8" s="4" t="s">
        <v>15</v>
      </c>
    </row>
    <row r="9" spans="1:5" ht="13.5" customHeight="1">
      <c r="A9" s="20" t="s">
        <v>25</v>
      </c>
      <c r="B9" s="32" t="s">
        <v>26</v>
      </c>
      <c r="C9" s="2" t="s">
        <v>27</v>
      </c>
      <c r="D9" s="3"/>
      <c r="E9" s="4"/>
    </row>
    <row r="10" spans="1:5" ht="13.5" customHeight="1">
      <c r="A10" s="20" t="s">
        <v>28</v>
      </c>
      <c r="B10" s="32" t="s">
        <v>29</v>
      </c>
      <c r="C10" s="2" t="s">
        <v>30</v>
      </c>
      <c r="D10" s="3"/>
      <c r="E10" s="4"/>
    </row>
    <row r="11" spans="1:5" ht="13.5" customHeight="1">
      <c r="A11" s="20" t="s">
        <v>31</v>
      </c>
      <c r="B11" s="32" t="s">
        <v>32</v>
      </c>
      <c r="C11" s="2" t="s">
        <v>33</v>
      </c>
      <c r="D11" s="3"/>
      <c r="E11" s="4"/>
    </row>
    <row r="12" spans="1:5" ht="13.5" customHeight="1">
      <c r="A12" s="20" t="s">
        <v>34</v>
      </c>
      <c r="B12" s="32" t="s">
        <v>35</v>
      </c>
      <c r="C12" s="2" t="s">
        <v>36</v>
      </c>
      <c r="D12" s="3"/>
      <c r="E12" s="4"/>
    </row>
    <row r="13" spans="1:5" ht="13.5" customHeight="1">
      <c r="A13" s="20" t="s">
        <v>37</v>
      </c>
      <c r="B13" s="32" t="s">
        <v>38</v>
      </c>
      <c r="C13" s="2" t="s">
        <v>39</v>
      </c>
      <c r="D13" s="3"/>
      <c r="E13" s="4"/>
    </row>
    <row r="14" spans="1:5" ht="13.5" customHeight="1">
      <c r="A14" s="20" t="s">
        <v>40</v>
      </c>
      <c r="B14" s="32" t="s">
        <v>41</v>
      </c>
      <c r="C14" s="2" t="s">
        <v>42</v>
      </c>
      <c r="D14" s="3"/>
      <c r="E14" s="4"/>
    </row>
    <row r="15" spans="1:5" ht="13.5" customHeight="1">
      <c r="A15" s="20" t="s">
        <v>43</v>
      </c>
      <c r="B15" s="32" t="s">
        <v>44</v>
      </c>
      <c r="C15" s="2" t="s">
        <v>45</v>
      </c>
      <c r="D15" s="3"/>
      <c r="E15" s="4"/>
    </row>
    <row r="16" spans="1:5" ht="13.5" customHeight="1">
      <c r="A16" s="20" t="s">
        <v>46</v>
      </c>
      <c r="B16" s="32" t="s">
        <v>47</v>
      </c>
      <c r="C16" s="2" t="s">
        <v>48</v>
      </c>
      <c r="D16" s="3"/>
      <c r="E16" s="4"/>
    </row>
    <row r="17" spans="1:9" ht="13.5" customHeight="1">
      <c r="A17" s="20" t="s">
        <v>49</v>
      </c>
      <c r="B17" s="32" t="s">
        <v>50</v>
      </c>
      <c r="C17" s="2" t="s">
        <v>51</v>
      </c>
      <c r="D17" s="3"/>
      <c r="E17" s="4"/>
    </row>
    <row r="18" spans="1:9" ht="13.5" customHeight="1">
      <c r="A18" s="20" t="s">
        <v>52</v>
      </c>
      <c r="B18" s="32" t="s">
        <v>53</v>
      </c>
      <c r="C18" s="2" t="s">
        <v>54</v>
      </c>
      <c r="D18" s="3">
        <v>0.52</v>
      </c>
      <c r="E18" s="4" t="s">
        <v>15</v>
      </c>
    </row>
    <row r="19" spans="1:9" ht="13.5" customHeight="1">
      <c r="A19" s="20" t="s">
        <v>55</v>
      </c>
      <c r="B19" s="32" t="s">
        <v>56</v>
      </c>
      <c r="C19" s="2" t="s">
        <v>57</v>
      </c>
      <c r="D19" s="3">
        <v>0.54</v>
      </c>
      <c r="E19" s="4" t="s">
        <v>15</v>
      </c>
    </row>
    <row r="20" spans="1:9" ht="13.5" customHeight="1">
      <c r="A20" s="20" t="s">
        <v>58</v>
      </c>
      <c r="B20" s="32" t="s">
        <v>59</v>
      </c>
      <c r="C20" s="2" t="s">
        <v>60</v>
      </c>
      <c r="D20" s="3"/>
      <c r="E20" s="4"/>
    </row>
    <row r="21" spans="1:9" ht="13.5" customHeight="1">
      <c r="A21" s="20" t="s">
        <v>61</v>
      </c>
      <c r="B21" s="32" t="s">
        <v>62</v>
      </c>
      <c r="C21" s="2">
        <v>151924</v>
      </c>
      <c r="D21" s="3">
        <v>0.05</v>
      </c>
      <c r="E21" s="2" t="s">
        <v>63</v>
      </c>
    </row>
    <row r="22" spans="1:9" ht="13.5" customHeight="1">
      <c r="A22" s="20" t="s">
        <v>64</v>
      </c>
      <c r="B22" s="32" t="s">
        <v>65</v>
      </c>
      <c r="C22" s="2" t="s">
        <v>66</v>
      </c>
      <c r="D22" s="3"/>
      <c r="E22" s="4"/>
    </row>
    <row r="23" spans="1:9" ht="13.5" customHeight="1">
      <c r="A23" s="20" t="s">
        <v>67</v>
      </c>
      <c r="B23" s="32" t="s">
        <v>68</v>
      </c>
      <c r="C23" s="2" t="s">
        <v>69</v>
      </c>
      <c r="D23" s="3">
        <v>1.6</v>
      </c>
      <c r="E23" s="4"/>
    </row>
    <row r="24" spans="1:9" ht="13.5" customHeight="1">
      <c r="A24" s="20" t="s">
        <v>70</v>
      </c>
      <c r="B24" s="32" t="s">
        <v>71</v>
      </c>
      <c r="C24" s="2" t="s">
        <v>72</v>
      </c>
      <c r="D24" s="3"/>
      <c r="E24" s="4"/>
    </row>
    <row r="25" spans="1:9" ht="13.5" customHeight="1">
      <c r="A25" s="20" t="s">
        <v>73</v>
      </c>
      <c r="B25" s="32" t="s">
        <v>74</v>
      </c>
      <c r="C25" s="2" t="s">
        <v>75</v>
      </c>
      <c r="D25" s="3"/>
      <c r="E25" s="4"/>
    </row>
    <row r="26" spans="1:9" ht="13.5" customHeight="1">
      <c r="A26" s="20" t="s">
        <v>76</v>
      </c>
      <c r="B26" s="32" t="s">
        <v>77</v>
      </c>
      <c r="C26" s="2" t="s">
        <v>78</v>
      </c>
      <c r="D26" s="3">
        <v>0.27</v>
      </c>
      <c r="E26" s="4" t="s">
        <v>15</v>
      </c>
    </row>
    <row r="27" spans="1:9" ht="13.5" customHeight="1">
      <c r="A27" s="20" t="s">
        <v>79</v>
      </c>
      <c r="B27" s="32" t="s">
        <v>80</v>
      </c>
      <c r="C27" s="2" t="s">
        <v>81</v>
      </c>
      <c r="D27" s="3"/>
      <c r="E27" s="4"/>
    </row>
    <row r="28" spans="1:9" ht="13.5" customHeight="1">
      <c r="A28" s="20" t="s">
        <v>82</v>
      </c>
      <c r="B28" s="32" t="s">
        <v>83</v>
      </c>
      <c r="C28" s="2" t="s">
        <v>84</v>
      </c>
      <c r="D28" s="3">
        <v>0.45</v>
      </c>
      <c r="E28" s="4" t="s">
        <v>15</v>
      </c>
    </row>
    <row r="29" spans="1:9" ht="13.5" customHeight="1">
      <c r="A29" s="20" t="s">
        <v>85</v>
      </c>
      <c r="B29" s="32" t="s">
        <v>86</v>
      </c>
      <c r="C29" s="2" t="s">
        <v>87</v>
      </c>
      <c r="D29" s="3">
        <v>0.28000000000000003</v>
      </c>
      <c r="E29" s="4" t="s">
        <v>15</v>
      </c>
      <c r="I29" s="1">
        <f>6*0.05</f>
        <v>0.30000000000000004</v>
      </c>
    </row>
    <row r="30" spans="1:9" ht="13.5" customHeight="1">
      <c r="A30" s="20" t="s">
        <v>88</v>
      </c>
      <c r="B30" s="32" t="s">
        <v>89</v>
      </c>
      <c r="C30" s="2" t="s">
        <v>90</v>
      </c>
      <c r="D30" s="3"/>
      <c r="E30" s="4"/>
    </row>
    <row r="31" spans="1:9" ht="13.5" customHeight="1">
      <c r="A31" s="20" t="s">
        <v>91</v>
      </c>
      <c r="B31" s="32" t="s">
        <v>92</v>
      </c>
      <c r="C31" s="2" t="s">
        <v>93</v>
      </c>
      <c r="D31" s="3">
        <v>0.26</v>
      </c>
      <c r="E31" s="4" t="s">
        <v>15</v>
      </c>
    </row>
    <row r="32" spans="1:9" ht="13.5" customHeight="1">
      <c r="A32" s="20" t="s">
        <v>94</v>
      </c>
      <c r="B32" s="32" t="s">
        <v>95</v>
      </c>
      <c r="C32" s="2" t="s">
        <v>96</v>
      </c>
      <c r="D32" s="3">
        <v>0.12</v>
      </c>
      <c r="E32" s="4" t="s">
        <v>15</v>
      </c>
    </row>
    <row r="33" spans="1:5" ht="13.5" customHeight="1">
      <c r="A33" s="20" t="s">
        <v>97</v>
      </c>
      <c r="B33" s="32" t="s">
        <v>98</v>
      </c>
      <c r="C33" s="2" t="s">
        <v>99</v>
      </c>
      <c r="D33" s="3"/>
      <c r="E33" s="4"/>
    </row>
    <row r="34" spans="1:5" ht="13.5" customHeight="1">
      <c r="A34" s="20" t="s">
        <v>100</v>
      </c>
      <c r="B34" s="32" t="s">
        <v>101</v>
      </c>
      <c r="C34" s="2" t="s">
        <v>102</v>
      </c>
      <c r="D34" s="3"/>
      <c r="E34" s="4"/>
    </row>
    <row r="35" spans="1:5" ht="13.5" customHeight="1">
      <c r="A35" s="20" t="s">
        <v>103</v>
      </c>
      <c r="B35" s="32" t="s">
        <v>104</v>
      </c>
      <c r="C35" s="2" t="s">
        <v>105</v>
      </c>
      <c r="D35" s="3"/>
      <c r="E35" s="4"/>
    </row>
    <row r="36" spans="1:5" ht="13.5" customHeight="1">
      <c r="A36" s="20" t="s">
        <v>106</v>
      </c>
      <c r="B36" s="32" t="s">
        <v>107</v>
      </c>
      <c r="C36" s="2" t="s">
        <v>108</v>
      </c>
      <c r="D36" s="3">
        <v>0.13</v>
      </c>
      <c r="E36" s="4" t="s">
        <v>15</v>
      </c>
    </row>
    <row r="37" spans="1:5" ht="13.5" customHeight="1">
      <c r="A37" s="20" t="s">
        <v>109</v>
      </c>
      <c r="B37" s="32" t="s">
        <v>110</v>
      </c>
      <c r="C37" s="2" t="s">
        <v>111</v>
      </c>
      <c r="D37" s="3">
        <v>0.1</v>
      </c>
      <c r="E37" s="4" t="s">
        <v>15</v>
      </c>
    </row>
    <row r="38" spans="1:5" ht="13.5" customHeight="1">
      <c r="A38" s="20" t="s">
        <v>112</v>
      </c>
      <c r="B38" s="32" t="s">
        <v>113</v>
      </c>
      <c r="C38" s="2" t="s">
        <v>114</v>
      </c>
      <c r="D38" s="3">
        <v>0.1</v>
      </c>
      <c r="E38" s="4" t="s">
        <v>15</v>
      </c>
    </row>
    <row r="39" spans="1:5" ht="13.5" customHeight="1">
      <c r="A39" s="20" t="s">
        <v>115</v>
      </c>
      <c r="B39" s="32" t="s">
        <v>116</v>
      </c>
      <c r="C39" s="2" t="s">
        <v>117</v>
      </c>
      <c r="D39" s="3"/>
      <c r="E39" s="4"/>
    </row>
    <row r="40" spans="1:5" ht="13.5" customHeight="1">
      <c r="A40" s="20" t="s">
        <v>118</v>
      </c>
      <c r="B40" s="32" t="s">
        <v>119</v>
      </c>
      <c r="C40" s="2" t="s">
        <v>120</v>
      </c>
      <c r="D40" s="3"/>
      <c r="E40" s="4"/>
    </row>
    <row r="41" spans="1:5" ht="13.5" customHeight="1">
      <c r="A41" s="20" t="s">
        <v>121</v>
      </c>
      <c r="B41" s="32" t="s">
        <v>122</v>
      </c>
      <c r="C41" s="2" t="s">
        <v>123</v>
      </c>
      <c r="D41" s="3">
        <v>0.85</v>
      </c>
      <c r="E41" s="2" t="s">
        <v>15</v>
      </c>
    </row>
    <row r="42" spans="1:5" ht="13.5" customHeight="1">
      <c r="A42" s="20" t="s">
        <v>124</v>
      </c>
      <c r="B42" s="32" t="s">
        <v>125</v>
      </c>
      <c r="C42" s="2" t="s">
        <v>126</v>
      </c>
      <c r="D42" s="3"/>
      <c r="E42" s="4"/>
    </row>
    <row r="43" spans="1:5" ht="13.5" customHeight="1">
      <c r="A43" s="20" t="s">
        <v>127</v>
      </c>
      <c r="B43" s="32" t="s">
        <v>128</v>
      </c>
      <c r="C43" s="2" t="s">
        <v>129</v>
      </c>
      <c r="D43" s="3"/>
      <c r="E43" s="4"/>
    </row>
    <row r="44" spans="1:5" ht="13.5" customHeight="1">
      <c r="A44" s="20" t="s">
        <v>130</v>
      </c>
      <c r="B44" s="32" t="s">
        <v>131</v>
      </c>
      <c r="C44" s="2" t="s">
        <v>132</v>
      </c>
      <c r="D44" s="3">
        <v>0.46</v>
      </c>
      <c r="E44" s="2" t="s">
        <v>15</v>
      </c>
    </row>
    <row r="45" spans="1:5" ht="13.5" customHeight="1">
      <c r="A45" s="20" t="s">
        <v>133</v>
      </c>
      <c r="B45" s="32" t="s">
        <v>134</v>
      </c>
      <c r="C45" s="2" t="s">
        <v>135</v>
      </c>
      <c r="D45" s="3">
        <v>0.6</v>
      </c>
      <c r="E45" s="2" t="s">
        <v>15</v>
      </c>
    </row>
    <row r="46" spans="1:5" ht="13.5" customHeight="1">
      <c r="A46" s="20" t="s">
        <v>136</v>
      </c>
      <c r="B46" s="32" t="s">
        <v>137</v>
      </c>
      <c r="C46" s="2" t="s">
        <v>138</v>
      </c>
      <c r="D46" s="3"/>
      <c r="E46" s="4"/>
    </row>
    <row r="47" spans="1:5" ht="13.5" customHeight="1">
      <c r="A47" s="20" t="s">
        <v>139</v>
      </c>
      <c r="B47" s="32" t="s">
        <v>140</v>
      </c>
      <c r="C47" s="2" t="s">
        <v>141</v>
      </c>
      <c r="D47" s="3">
        <v>0.24</v>
      </c>
      <c r="E47" s="2" t="s">
        <v>15</v>
      </c>
    </row>
    <row r="48" spans="1:5" ht="13.5" customHeight="1">
      <c r="A48" s="20" t="s">
        <v>142</v>
      </c>
      <c r="B48" s="32" t="s">
        <v>143</v>
      </c>
      <c r="C48" s="2" t="s">
        <v>144</v>
      </c>
      <c r="D48" s="3"/>
      <c r="E48" s="4"/>
    </row>
    <row r="49" spans="1:5" ht="13.5" customHeight="1">
      <c r="A49" s="20" t="s">
        <v>145</v>
      </c>
      <c r="B49" s="32" t="s">
        <v>146</v>
      </c>
      <c r="C49" s="2" t="s">
        <v>147</v>
      </c>
      <c r="D49" s="3">
        <v>0.01</v>
      </c>
      <c r="E49" s="2" t="s">
        <v>15</v>
      </c>
    </row>
    <row r="50" spans="1:5" ht="13.5" customHeight="1">
      <c r="A50" s="22" t="s">
        <v>148</v>
      </c>
      <c r="B50" s="31" t="s">
        <v>148</v>
      </c>
      <c r="C50" s="4">
        <v>0</v>
      </c>
      <c r="D50" s="11">
        <v>0.03</v>
      </c>
      <c r="E50" s="4"/>
    </row>
    <row r="51" spans="1:5" ht="13.5" customHeight="1">
      <c r="A51" s="20" t="s">
        <v>149</v>
      </c>
      <c r="B51" s="32" t="s">
        <v>150</v>
      </c>
      <c r="C51" s="2" t="s">
        <v>151</v>
      </c>
      <c r="D51" s="3">
        <v>41.7</v>
      </c>
      <c r="E51" s="2" t="s">
        <v>63</v>
      </c>
    </row>
    <row r="52" spans="1:5" ht="13.5" customHeight="1">
      <c r="A52" s="20" t="s">
        <v>152</v>
      </c>
      <c r="B52" s="32" t="s">
        <v>153</v>
      </c>
      <c r="C52" s="2" t="s">
        <v>154</v>
      </c>
      <c r="D52" s="3"/>
      <c r="E52" s="4"/>
    </row>
    <row r="53" spans="1:5" ht="13.5" customHeight="1">
      <c r="A53" s="22" t="s">
        <v>155</v>
      </c>
      <c r="B53" s="31" t="s">
        <v>156</v>
      </c>
      <c r="C53" s="4">
        <v>191220</v>
      </c>
      <c r="D53" s="11">
        <v>1.4946999999999999</v>
      </c>
      <c r="E53" s="4"/>
    </row>
    <row r="54" spans="1:5" ht="13.5" customHeight="1">
      <c r="A54" s="20" t="s">
        <v>157</v>
      </c>
      <c r="B54" s="32" t="s">
        <v>158</v>
      </c>
      <c r="C54" s="2" t="s">
        <v>159</v>
      </c>
      <c r="D54" s="3">
        <v>0.7</v>
      </c>
      <c r="E54" s="2" t="s">
        <v>63</v>
      </c>
    </row>
    <row r="55" spans="1:5" ht="13.5" customHeight="1">
      <c r="A55" s="20" t="s">
        <v>160</v>
      </c>
      <c r="B55" s="32" t="s">
        <v>161</v>
      </c>
      <c r="C55" s="2" t="s">
        <v>162</v>
      </c>
      <c r="D55" s="3"/>
      <c r="E55" s="4"/>
    </row>
    <row r="56" spans="1:5" ht="13.5" customHeight="1">
      <c r="A56" s="20" t="s">
        <v>163</v>
      </c>
      <c r="B56" s="32" t="s">
        <v>164</v>
      </c>
      <c r="C56" s="2" t="s">
        <v>165</v>
      </c>
      <c r="D56" s="3"/>
      <c r="E56" s="4"/>
    </row>
    <row r="57" spans="1:5" ht="13.5" customHeight="1">
      <c r="A57" s="20" t="s">
        <v>166</v>
      </c>
      <c r="B57" s="32" t="s">
        <v>167</v>
      </c>
      <c r="C57" s="2" t="s">
        <v>168</v>
      </c>
      <c r="D57" s="3"/>
      <c r="E57" s="4"/>
    </row>
    <row r="58" spans="1:5" ht="13.5" customHeight="1">
      <c r="A58" s="20" t="s">
        <v>169</v>
      </c>
      <c r="B58" s="32" t="s">
        <v>170</v>
      </c>
      <c r="C58" s="2" t="s">
        <v>171</v>
      </c>
      <c r="D58" s="3"/>
      <c r="E58" s="4"/>
    </row>
    <row r="59" spans="1:5" ht="13.5" customHeight="1">
      <c r="A59" s="20" t="s">
        <v>172</v>
      </c>
      <c r="B59" s="32" t="s">
        <v>173</v>
      </c>
      <c r="C59" s="2" t="s">
        <v>174</v>
      </c>
      <c r="D59" s="3"/>
      <c r="E59" s="4"/>
    </row>
    <row r="60" spans="1:5" ht="13.5" customHeight="1">
      <c r="A60" s="20" t="s">
        <v>175</v>
      </c>
      <c r="B60" s="32" t="s">
        <v>176</v>
      </c>
      <c r="C60" s="2" t="s">
        <v>177</v>
      </c>
      <c r="D60" s="3"/>
      <c r="E60" s="4"/>
    </row>
    <row r="61" spans="1:5" ht="13.5" customHeight="1">
      <c r="A61" s="20" t="s">
        <v>178</v>
      </c>
      <c r="B61" s="32" t="s">
        <v>179</v>
      </c>
      <c r="C61" s="2" t="s">
        <v>180</v>
      </c>
      <c r="D61" s="3"/>
      <c r="E61" s="4"/>
    </row>
    <row r="62" spans="1:5" ht="13.5" customHeight="1">
      <c r="A62" s="20" t="s">
        <v>181</v>
      </c>
      <c r="B62" s="32" t="s">
        <v>182</v>
      </c>
      <c r="C62" s="2" t="s">
        <v>183</v>
      </c>
      <c r="D62" s="3"/>
      <c r="E62" s="4"/>
    </row>
    <row r="63" spans="1:5" ht="13.5" customHeight="1">
      <c r="A63" s="25" t="s">
        <v>184</v>
      </c>
      <c r="B63" s="31" t="s">
        <v>185</v>
      </c>
      <c r="C63" s="4">
        <v>194301</v>
      </c>
      <c r="D63" s="11">
        <v>0.99</v>
      </c>
      <c r="E63" s="4"/>
    </row>
    <row r="64" spans="1:5" ht="13.5" customHeight="1">
      <c r="A64" s="25" t="s">
        <v>186</v>
      </c>
      <c r="B64" s="31" t="s">
        <v>185</v>
      </c>
      <c r="C64" s="4">
        <v>194302</v>
      </c>
      <c r="D64" s="11">
        <v>0.87</v>
      </c>
      <c r="E64" s="4"/>
    </row>
    <row r="65" spans="1:9" ht="13.5" customHeight="1">
      <c r="A65" s="20" t="s">
        <v>187</v>
      </c>
      <c r="B65" s="32" t="s">
        <v>188</v>
      </c>
      <c r="C65" s="2" t="s">
        <v>189</v>
      </c>
      <c r="D65" s="3">
        <v>0.01</v>
      </c>
      <c r="E65" s="2" t="s">
        <v>15</v>
      </c>
      <c r="I65" s="1">
        <f>170*0.03</f>
        <v>5.0999999999999996</v>
      </c>
    </row>
    <row r="66" spans="1:9" ht="13.5" customHeight="1">
      <c r="A66" s="20" t="s">
        <v>190</v>
      </c>
      <c r="B66" s="32" t="s">
        <v>191</v>
      </c>
      <c r="C66" s="2" t="s">
        <v>192</v>
      </c>
      <c r="D66" s="3">
        <v>0.01</v>
      </c>
      <c r="E66" s="2" t="s">
        <v>15</v>
      </c>
      <c r="I66" s="1">
        <v>5.0999999999999996</v>
      </c>
    </row>
    <row r="67" spans="1:9" ht="13.5" customHeight="1">
      <c r="A67" s="20" t="s">
        <v>193</v>
      </c>
      <c r="B67" s="32" t="s">
        <v>194</v>
      </c>
      <c r="C67" s="2" t="s">
        <v>195</v>
      </c>
      <c r="D67" s="3"/>
      <c r="E67" s="4"/>
    </row>
    <row r="68" spans="1:9" ht="13.5" customHeight="1">
      <c r="A68" s="20" t="s">
        <v>196</v>
      </c>
      <c r="B68" s="32" t="s">
        <v>197</v>
      </c>
      <c r="C68" s="2" t="s">
        <v>198</v>
      </c>
      <c r="D68" s="3"/>
      <c r="E68" s="4"/>
    </row>
    <row r="69" spans="1:9" ht="13.5" customHeight="1">
      <c r="A69" s="22" t="s">
        <v>199</v>
      </c>
      <c r="B69" s="31" t="s">
        <v>200</v>
      </c>
      <c r="C69" s="4">
        <v>271761</v>
      </c>
      <c r="D69" s="11">
        <v>0.06</v>
      </c>
      <c r="E69" s="4"/>
    </row>
    <row r="70" spans="1:9" ht="13.5" customHeight="1">
      <c r="A70" s="20" t="s">
        <v>201</v>
      </c>
      <c r="B70" s="32" t="s">
        <v>202</v>
      </c>
      <c r="C70" s="2" t="s">
        <v>203</v>
      </c>
      <c r="D70" s="3">
        <v>0.37</v>
      </c>
      <c r="E70" s="2" t="s">
        <v>15</v>
      </c>
    </row>
    <row r="71" spans="1:9" ht="13.5" customHeight="1">
      <c r="A71" s="20" t="s">
        <v>204</v>
      </c>
      <c r="B71" s="32" t="s">
        <v>205</v>
      </c>
      <c r="C71" s="2" t="s">
        <v>206</v>
      </c>
      <c r="D71" s="3">
        <v>0.2</v>
      </c>
      <c r="E71" s="4"/>
    </row>
    <row r="72" spans="1:9" ht="13.5" customHeight="1">
      <c r="A72" s="24" t="s">
        <v>207</v>
      </c>
      <c r="B72" s="31" t="s">
        <v>208</v>
      </c>
      <c r="C72" s="4">
        <v>271771</v>
      </c>
      <c r="D72" s="11">
        <v>0.2</v>
      </c>
      <c r="E72" s="4"/>
    </row>
    <row r="73" spans="1:9">
      <c r="A73" s="22" t="s">
        <v>209</v>
      </c>
      <c r="B73" s="31" t="s">
        <v>210</v>
      </c>
      <c r="C73" s="4">
        <v>271772</v>
      </c>
      <c r="D73" s="11">
        <v>0.25</v>
      </c>
      <c r="E73" s="4"/>
    </row>
    <row r="74" spans="1:9" ht="14.25" customHeight="1">
      <c r="A74" s="20" t="s">
        <v>211</v>
      </c>
      <c r="B74" s="32" t="s">
        <v>212</v>
      </c>
      <c r="C74" s="4">
        <v>271772</v>
      </c>
      <c r="D74" s="5">
        <v>2.4361000000000001E-2</v>
      </c>
      <c r="E74" s="4"/>
    </row>
    <row r="75" spans="1:9" ht="13.5" customHeight="1">
      <c r="A75" s="20" t="s">
        <v>213</v>
      </c>
      <c r="B75" s="32" t="s">
        <v>214</v>
      </c>
      <c r="C75" s="2" t="s">
        <v>215</v>
      </c>
      <c r="D75" s="5">
        <v>1.3998999999999999E-2</v>
      </c>
      <c r="E75" s="4"/>
    </row>
    <row r="76" spans="1:9" ht="13.5" customHeight="1">
      <c r="A76" s="20" t="s">
        <v>216</v>
      </c>
      <c r="B76" s="32" t="s">
        <v>217</v>
      </c>
      <c r="C76" s="2" t="s">
        <v>218</v>
      </c>
      <c r="D76" s="3"/>
      <c r="E76" s="4"/>
    </row>
    <row r="77" spans="1:9" ht="13.5" customHeight="1">
      <c r="A77" s="20" t="s">
        <v>219</v>
      </c>
      <c r="B77" s="32" t="s">
        <v>220</v>
      </c>
      <c r="C77" s="2" t="s">
        <v>221</v>
      </c>
      <c r="D77" s="3"/>
      <c r="E77" s="4"/>
    </row>
    <row r="78" spans="1:9" ht="13.5" customHeight="1">
      <c r="A78" s="20" t="s">
        <v>222</v>
      </c>
      <c r="B78" s="32" t="s">
        <v>223</v>
      </c>
      <c r="C78" s="2" t="s">
        <v>224</v>
      </c>
      <c r="D78" s="3"/>
      <c r="E78" s="4"/>
    </row>
    <row r="79" spans="1:9" ht="13.5" customHeight="1">
      <c r="A79" s="20" t="s">
        <v>225</v>
      </c>
      <c r="B79" s="32" t="s">
        <v>226</v>
      </c>
      <c r="C79" s="2" t="s">
        <v>227</v>
      </c>
      <c r="D79" s="3">
        <v>0.21</v>
      </c>
      <c r="E79" s="4"/>
    </row>
    <row r="80" spans="1:9" ht="13.5" customHeight="1">
      <c r="A80" s="20" t="s">
        <v>228</v>
      </c>
      <c r="B80" s="32" t="s">
        <v>229</v>
      </c>
      <c r="C80" s="2" t="s">
        <v>230</v>
      </c>
      <c r="D80" s="3">
        <v>1.33</v>
      </c>
      <c r="E80" s="4"/>
    </row>
    <row r="81" spans="1:5" ht="13.5" customHeight="1">
      <c r="A81" s="20" t="s">
        <v>231</v>
      </c>
      <c r="B81" s="32" t="s">
        <v>232</v>
      </c>
      <c r="C81" s="2" t="s">
        <v>233</v>
      </c>
      <c r="D81" s="3">
        <v>1.28</v>
      </c>
      <c r="E81" s="2" t="s">
        <v>15</v>
      </c>
    </row>
    <row r="82" spans="1:5" ht="13.5" customHeight="1">
      <c r="A82" s="20" t="s">
        <v>234</v>
      </c>
      <c r="B82" s="32" t="s">
        <v>235</v>
      </c>
      <c r="C82" s="2" t="s">
        <v>236</v>
      </c>
      <c r="D82" s="3">
        <v>1.3</v>
      </c>
      <c r="E82" s="2" t="s">
        <v>15</v>
      </c>
    </row>
    <row r="83" spans="1:5" ht="13.5" customHeight="1">
      <c r="A83" s="20" t="s">
        <v>237</v>
      </c>
      <c r="B83" s="32" t="s">
        <v>238</v>
      </c>
      <c r="C83" s="2" t="s">
        <v>239</v>
      </c>
      <c r="D83" s="3"/>
      <c r="E83" s="4"/>
    </row>
    <row r="84" spans="1:5" ht="13.5" customHeight="1">
      <c r="A84" s="22" t="s">
        <v>186</v>
      </c>
      <c r="B84" s="31" t="s">
        <v>240</v>
      </c>
      <c r="C84" s="4">
        <v>301130</v>
      </c>
      <c r="D84" s="11">
        <v>2.9</v>
      </c>
      <c r="E84" s="4"/>
    </row>
    <row r="85" spans="1:5" ht="13.5" customHeight="1">
      <c r="A85" s="22" t="s">
        <v>241</v>
      </c>
      <c r="B85" s="31"/>
      <c r="C85" s="4">
        <v>301137</v>
      </c>
      <c r="D85" s="11">
        <v>1.85</v>
      </c>
      <c r="E85" s="4"/>
    </row>
    <row r="86" spans="1:5" ht="13.5" customHeight="1">
      <c r="A86" s="20" t="s">
        <v>242</v>
      </c>
      <c r="B86" s="32" t="s">
        <v>243</v>
      </c>
      <c r="C86" s="2" t="s">
        <v>244</v>
      </c>
      <c r="D86" s="3"/>
      <c r="E86" s="4"/>
    </row>
    <row r="87" spans="1:5" ht="13.5" customHeight="1">
      <c r="A87" s="20" t="s">
        <v>245</v>
      </c>
      <c r="B87" s="32" t="s">
        <v>246</v>
      </c>
      <c r="C87" s="2" t="s">
        <v>247</v>
      </c>
      <c r="D87" s="3"/>
      <c r="E87" s="4"/>
    </row>
    <row r="88" spans="1:5" ht="13.5" customHeight="1">
      <c r="A88" s="20" t="s">
        <v>248</v>
      </c>
      <c r="B88" s="32" t="s">
        <v>249</v>
      </c>
      <c r="C88" s="2" t="s">
        <v>250</v>
      </c>
      <c r="D88" s="3"/>
      <c r="E88" s="4"/>
    </row>
    <row r="89" spans="1:5" ht="13.5" customHeight="1">
      <c r="A89" s="20" t="s">
        <v>251</v>
      </c>
      <c r="B89" s="32" t="s">
        <v>252</v>
      </c>
      <c r="C89" s="2">
        <v>301604</v>
      </c>
      <c r="D89" s="3">
        <v>1.05</v>
      </c>
      <c r="E89" s="4"/>
    </row>
    <row r="90" spans="1:5" ht="13.5" customHeight="1">
      <c r="A90" s="20" t="s">
        <v>253</v>
      </c>
      <c r="B90" s="32" t="s">
        <v>254</v>
      </c>
      <c r="C90" s="2" t="s">
        <v>255</v>
      </c>
      <c r="D90" s="3">
        <v>0.86</v>
      </c>
      <c r="E90" s="2" t="s">
        <v>15</v>
      </c>
    </row>
    <row r="91" spans="1:5" ht="13.5" customHeight="1">
      <c r="A91" s="20" t="s">
        <v>256</v>
      </c>
      <c r="B91" s="32" t="s">
        <v>257</v>
      </c>
      <c r="C91" s="2" t="s">
        <v>258</v>
      </c>
      <c r="D91" s="3">
        <v>0.85</v>
      </c>
      <c r="E91" s="2" t="s">
        <v>63</v>
      </c>
    </row>
    <row r="92" spans="1:5" ht="13.5" customHeight="1">
      <c r="A92" s="20" t="s">
        <v>259</v>
      </c>
      <c r="B92" s="32" t="s">
        <v>260</v>
      </c>
      <c r="C92" s="2" t="s">
        <v>261</v>
      </c>
      <c r="D92" s="3">
        <v>0.85</v>
      </c>
      <c r="E92" s="2" t="s">
        <v>63</v>
      </c>
    </row>
    <row r="93" spans="1:5" ht="13.5" customHeight="1">
      <c r="A93" s="20" t="s">
        <v>262</v>
      </c>
      <c r="B93" s="32" t="s">
        <v>263</v>
      </c>
      <c r="C93" s="2" t="s">
        <v>264</v>
      </c>
      <c r="D93" s="3"/>
      <c r="E93" s="4"/>
    </row>
    <row r="94" spans="1:5" ht="13.5" customHeight="1">
      <c r="A94" s="20" t="s">
        <v>265</v>
      </c>
      <c r="B94" s="32" t="s">
        <v>266</v>
      </c>
      <c r="C94" s="2" t="s">
        <v>267</v>
      </c>
      <c r="D94" s="3">
        <v>0.85</v>
      </c>
      <c r="E94" s="2" t="s">
        <v>63</v>
      </c>
    </row>
    <row r="95" spans="1:5" ht="13.5" customHeight="1">
      <c r="A95" s="20" t="s">
        <v>268</v>
      </c>
      <c r="B95" s="32" t="s">
        <v>269</v>
      </c>
      <c r="C95" s="2" t="s">
        <v>270</v>
      </c>
      <c r="D95" s="3">
        <v>1.3</v>
      </c>
      <c r="E95" s="4"/>
    </row>
    <row r="96" spans="1:5" ht="13.5" customHeight="1">
      <c r="A96" s="22" t="s">
        <v>271</v>
      </c>
      <c r="B96" s="31" t="s">
        <v>272</v>
      </c>
      <c r="C96" s="4">
        <v>304603</v>
      </c>
      <c r="D96" s="11">
        <v>1</v>
      </c>
      <c r="E96" s="4"/>
    </row>
    <row r="97" spans="1:8">
      <c r="A97" s="20" t="s">
        <v>273</v>
      </c>
      <c r="B97" s="32" t="s">
        <v>274</v>
      </c>
      <c r="C97" s="2" t="s">
        <v>275</v>
      </c>
      <c r="D97" s="3">
        <v>0.85</v>
      </c>
      <c r="E97" s="2" t="s">
        <v>63</v>
      </c>
    </row>
    <row r="98" spans="1:8" ht="13.5" customHeight="1">
      <c r="A98" s="20" t="s">
        <v>276</v>
      </c>
      <c r="B98" s="32" t="s">
        <v>277</v>
      </c>
      <c r="C98" s="2" t="s">
        <v>278</v>
      </c>
      <c r="D98" s="3">
        <v>2.5499999999999998</v>
      </c>
      <c r="E98" s="2" t="s">
        <v>15</v>
      </c>
      <c r="H98" s="1">
        <f>1.05*3</f>
        <v>3.1500000000000004</v>
      </c>
    </row>
    <row r="99" spans="1:8" ht="13.5" customHeight="1">
      <c r="A99" s="20" t="s">
        <v>279</v>
      </c>
      <c r="B99" s="32" t="s">
        <v>280</v>
      </c>
      <c r="C99" s="2" t="s">
        <v>281</v>
      </c>
      <c r="D99" s="3"/>
      <c r="E99" s="4"/>
    </row>
    <row r="100" spans="1:8" ht="13.5" customHeight="1">
      <c r="A100" s="20" t="s">
        <v>282</v>
      </c>
      <c r="B100" s="32" t="s">
        <v>283</v>
      </c>
      <c r="C100" s="2" t="s">
        <v>284</v>
      </c>
      <c r="D100" s="3"/>
      <c r="E100" s="4"/>
    </row>
    <row r="101" spans="1:8" ht="13.5" customHeight="1">
      <c r="A101" s="20" t="s">
        <v>285</v>
      </c>
      <c r="B101" s="32" t="s">
        <v>286</v>
      </c>
      <c r="C101" s="2" t="s">
        <v>287</v>
      </c>
      <c r="D101" s="3">
        <v>2.39</v>
      </c>
      <c r="E101" s="2" t="s">
        <v>15</v>
      </c>
    </row>
    <row r="102" spans="1:8" ht="13.5" customHeight="1">
      <c r="A102" s="20" t="s">
        <v>288</v>
      </c>
      <c r="B102" s="32" t="s">
        <v>289</v>
      </c>
      <c r="C102" s="2" t="s">
        <v>290</v>
      </c>
      <c r="D102" s="3"/>
      <c r="E102" s="4"/>
    </row>
    <row r="103" spans="1:8" ht="13.5" customHeight="1">
      <c r="A103" s="20" t="s">
        <v>291</v>
      </c>
      <c r="B103" s="32" t="s">
        <v>292</v>
      </c>
      <c r="C103" s="2" t="s">
        <v>293</v>
      </c>
      <c r="D103" s="3">
        <v>1.28</v>
      </c>
      <c r="E103" s="2" t="s">
        <v>15</v>
      </c>
    </row>
    <row r="104" spans="1:8" ht="13.5" customHeight="1">
      <c r="A104" s="20" t="s">
        <v>294</v>
      </c>
      <c r="B104" s="32" t="s">
        <v>295</v>
      </c>
      <c r="C104" s="2" t="s">
        <v>296</v>
      </c>
      <c r="D104" s="3"/>
      <c r="E104" s="4"/>
    </row>
    <row r="105" spans="1:8" ht="13.5" customHeight="1">
      <c r="A105" s="20" t="s">
        <v>297</v>
      </c>
      <c r="B105" s="32" t="s">
        <v>298</v>
      </c>
      <c r="C105" s="2" t="s">
        <v>299</v>
      </c>
      <c r="D105" s="3">
        <v>1.26</v>
      </c>
      <c r="E105" s="2" t="s">
        <v>15</v>
      </c>
    </row>
    <row r="106" spans="1:8" ht="13.5" customHeight="1">
      <c r="A106" s="20" t="s">
        <v>300</v>
      </c>
      <c r="B106" s="32" t="s">
        <v>301</v>
      </c>
      <c r="C106" s="2">
        <v>311596</v>
      </c>
      <c r="D106" s="3">
        <v>0.95</v>
      </c>
      <c r="E106" s="4"/>
    </row>
    <row r="107" spans="1:8" ht="13.5" customHeight="1">
      <c r="A107" s="20" t="s">
        <v>302</v>
      </c>
      <c r="B107" s="32" t="s">
        <v>303</v>
      </c>
      <c r="C107" s="2" t="s">
        <v>304</v>
      </c>
      <c r="D107" s="3">
        <v>0.95</v>
      </c>
      <c r="E107" s="4"/>
    </row>
    <row r="108" spans="1:8" ht="13.5" customHeight="1">
      <c r="A108" s="20" t="s">
        <v>305</v>
      </c>
      <c r="B108" s="32" t="s">
        <v>306</v>
      </c>
      <c r="C108" s="2" t="s">
        <v>307</v>
      </c>
      <c r="D108" s="3">
        <v>0.85</v>
      </c>
      <c r="E108" s="4"/>
    </row>
    <row r="109" spans="1:8" ht="13.5" customHeight="1">
      <c r="A109" s="20" t="s">
        <v>308</v>
      </c>
      <c r="B109" s="32" t="s">
        <v>309</v>
      </c>
      <c r="C109" s="2" t="s">
        <v>310</v>
      </c>
      <c r="D109" s="3">
        <v>0.9</v>
      </c>
      <c r="E109" s="4"/>
    </row>
    <row r="110" spans="1:8" ht="13.5" customHeight="1">
      <c r="A110" s="27" t="s">
        <v>311</v>
      </c>
      <c r="B110" s="31" t="s">
        <v>312</v>
      </c>
      <c r="C110" s="4">
        <v>311700</v>
      </c>
      <c r="D110" s="11">
        <v>0.65</v>
      </c>
      <c r="E110" s="4"/>
    </row>
    <row r="111" spans="1:8" ht="13.5" customHeight="1">
      <c r="A111" s="22" t="s">
        <v>313</v>
      </c>
      <c r="B111" s="31" t="s">
        <v>314</v>
      </c>
      <c r="C111" s="4">
        <v>311701</v>
      </c>
      <c r="D111" s="11">
        <v>0.6</v>
      </c>
      <c r="E111" s="4"/>
    </row>
    <row r="112" spans="1:8" ht="13.5" customHeight="1">
      <c r="A112" s="22" t="s">
        <v>315</v>
      </c>
      <c r="B112" s="31" t="s">
        <v>316</v>
      </c>
      <c r="C112" s="4">
        <v>311707</v>
      </c>
      <c r="D112" s="11">
        <v>0.65</v>
      </c>
      <c r="E112" s="4"/>
    </row>
    <row r="113" spans="1:12" ht="13.5" customHeight="1">
      <c r="A113" s="22" t="s">
        <v>317</v>
      </c>
      <c r="B113" s="31" t="s">
        <v>318</v>
      </c>
      <c r="C113" s="4">
        <v>311708</v>
      </c>
      <c r="D113" s="11">
        <v>0.6</v>
      </c>
      <c r="E113" s="4"/>
    </row>
    <row r="114" spans="1:12" ht="13.5" customHeight="1">
      <c r="A114" s="22" t="s">
        <v>319</v>
      </c>
      <c r="B114" s="31" t="s">
        <v>320</v>
      </c>
      <c r="C114" s="4">
        <v>312146</v>
      </c>
      <c r="D114" s="11">
        <v>1.2</v>
      </c>
      <c r="E114" s="4"/>
    </row>
    <row r="115" spans="1:12" ht="13.5" customHeight="1">
      <c r="A115" s="22" t="s">
        <v>319</v>
      </c>
      <c r="B115" s="31" t="s">
        <v>321</v>
      </c>
      <c r="C115" s="4">
        <v>312180</v>
      </c>
      <c r="D115" s="11">
        <v>1.3</v>
      </c>
      <c r="E115" s="4"/>
    </row>
    <row r="116" spans="1:12" ht="13.5" customHeight="1">
      <c r="A116" s="20" t="s">
        <v>322</v>
      </c>
      <c r="B116" s="32" t="s">
        <v>323</v>
      </c>
      <c r="C116" s="2" t="s">
        <v>324</v>
      </c>
      <c r="D116" s="3"/>
      <c r="E116" s="4"/>
    </row>
    <row r="117" spans="1:12" ht="13.5" customHeight="1">
      <c r="A117" s="20" t="s">
        <v>325</v>
      </c>
      <c r="B117" s="32" t="s">
        <v>326</v>
      </c>
      <c r="C117" s="2" t="s">
        <v>327</v>
      </c>
      <c r="D117" s="3"/>
      <c r="E117" s="4"/>
    </row>
    <row r="118" spans="1:12" ht="13.5" customHeight="1">
      <c r="A118" s="20" t="s">
        <v>328</v>
      </c>
      <c r="B118" s="32" t="s">
        <v>329</v>
      </c>
      <c r="C118" s="2" t="s">
        <v>330</v>
      </c>
      <c r="D118" s="3"/>
      <c r="E118" s="4"/>
    </row>
    <row r="119" spans="1:12" ht="13.5" customHeight="1">
      <c r="A119" s="20" t="s">
        <v>331</v>
      </c>
      <c r="B119" s="32" t="s">
        <v>332</v>
      </c>
      <c r="C119" s="2" t="s">
        <v>333</v>
      </c>
      <c r="D119" s="3">
        <v>1.03</v>
      </c>
      <c r="E119" s="2" t="s">
        <v>15</v>
      </c>
    </row>
    <row r="120" spans="1:12" ht="13.5" customHeight="1">
      <c r="A120" s="20" t="s">
        <v>334</v>
      </c>
      <c r="B120" s="32" t="s">
        <v>335</v>
      </c>
      <c r="C120" s="2" t="s">
        <v>336</v>
      </c>
      <c r="D120" s="3"/>
      <c r="E120" s="4"/>
    </row>
    <row r="121" spans="1:12" ht="13.5" customHeight="1">
      <c r="A121" s="20" t="s">
        <v>337</v>
      </c>
      <c r="B121" s="32" t="s">
        <v>338</v>
      </c>
      <c r="C121" s="2" t="s">
        <v>339</v>
      </c>
      <c r="D121" s="3">
        <v>1.01</v>
      </c>
      <c r="E121" s="2" t="s">
        <v>15</v>
      </c>
    </row>
    <row r="122" spans="1:12" ht="13.5" customHeight="1">
      <c r="A122" s="20" t="s">
        <v>340</v>
      </c>
      <c r="B122" s="32" t="s">
        <v>341</v>
      </c>
      <c r="C122" s="2" t="s">
        <v>342</v>
      </c>
      <c r="D122" s="3"/>
      <c r="E122" s="4"/>
    </row>
    <row r="123" spans="1:12" ht="13.5" customHeight="1">
      <c r="A123" s="20" t="s">
        <v>343</v>
      </c>
      <c r="B123" s="32" t="s">
        <v>344</v>
      </c>
      <c r="C123" s="2" t="s">
        <v>345</v>
      </c>
      <c r="D123" s="3"/>
      <c r="E123" s="4"/>
    </row>
    <row r="124" spans="1:12" ht="13.5" customHeight="1">
      <c r="A124" s="20" t="s">
        <v>346</v>
      </c>
      <c r="B124" s="32" t="s">
        <v>347</v>
      </c>
      <c r="C124" s="2" t="s">
        <v>348</v>
      </c>
      <c r="D124" s="3"/>
      <c r="E124" s="4"/>
    </row>
    <row r="125" spans="1:12" ht="13.5" customHeight="1">
      <c r="A125" s="20" t="s">
        <v>349</v>
      </c>
      <c r="B125" s="32" t="s">
        <v>350</v>
      </c>
      <c r="C125" s="2" t="s">
        <v>351</v>
      </c>
      <c r="D125" s="3"/>
      <c r="E125" s="4"/>
    </row>
    <row r="126" spans="1:12" ht="13.5" customHeight="1">
      <c r="A126" s="20" t="s">
        <v>352</v>
      </c>
      <c r="B126" s="32" t="s">
        <v>353</v>
      </c>
      <c r="C126" s="2" t="s">
        <v>354</v>
      </c>
      <c r="D126" s="3"/>
      <c r="E126" s="4"/>
    </row>
    <row r="127" spans="1:12" ht="13.5" customHeight="1">
      <c r="A127" s="20" t="s">
        <v>355</v>
      </c>
      <c r="B127" s="32" t="s">
        <v>356</v>
      </c>
      <c r="C127" s="2" t="s">
        <v>357</v>
      </c>
      <c r="D127" s="3">
        <v>0.9</v>
      </c>
      <c r="E127" s="2" t="s">
        <v>15</v>
      </c>
    </row>
    <row r="128" spans="1:12" ht="13.5" customHeight="1">
      <c r="A128" s="20" t="s">
        <v>358</v>
      </c>
      <c r="B128" s="32" t="s">
        <v>359</v>
      </c>
      <c r="C128" s="2" t="s">
        <v>360</v>
      </c>
      <c r="D128" s="3"/>
      <c r="E128" s="4"/>
      <c r="L128" s="1">
        <f>39*0.65</f>
        <v>25.35</v>
      </c>
    </row>
    <row r="129" spans="1:8" ht="13.5" customHeight="1">
      <c r="A129" s="20" t="s">
        <v>361</v>
      </c>
      <c r="B129" s="32" t="s">
        <v>362</v>
      </c>
      <c r="C129" s="2" t="s">
        <v>363</v>
      </c>
      <c r="D129" s="3"/>
      <c r="E129" s="4"/>
    </row>
    <row r="130" spans="1:8" ht="13.5" customHeight="1">
      <c r="A130" s="20" t="s">
        <v>364</v>
      </c>
      <c r="B130" s="32" t="s">
        <v>365</v>
      </c>
      <c r="C130" s="2" t="s">
        <v>366</v>
      </c>
      <c r="D130" s="3"/>
      <c r="E130" s="4"/>
    </row>
    <row r="131" spans="1:8" ht="13.5" customHeight="1">
      <c r="A131" s="20" t="s">
        <v>367</v>
      </c>
      <c r="B131" s="32" t="s">
        <v>368</v>
      </c>
      <c r="C131" s="2" t="s">
        <v>369</v>
      </c>
      <c r="D131" s="3"/>
      <c r="E131" s="4"/>
    </row>
    <row r="132" spans="1:8" ht="13.5" customHeight="1">
      <c r="A132" s="20" t="s">
        <v>370</v>
      </c>
      <c r="B132" s="32" t="s">
        <v>371</v>
      </c>
      <c r="C132" s="2" t="s">
        <v>372</v>
      </c>
      <c r="D132" s="3"/>
      <c r="E132" s="4"/>
    </row>
    <row r="133" spans="1:8" ht="13.5" customHeight="1">
      <c r="A133" s="20" t="s">
        <v>373</v>
      </c>
      <c r="B133" s="32" t="s">
        <v>374</v>
      </c>
      <c r="C133" s="2" t="s">
        <v>375</v>
      </c>
      <c r="D133" s="3"/>
      <c r="E133" s="4"/>
      <c r="H133" s="1">
        <f>1*0.65</f>
        <v>0.65</v>
      </c>
    </row>
    <row r="134" spans="1:8" ht="13.5" customHeight="1">
      <c r="A134" s="20" t="s">
        <v>376</v>
      </c>
      <c r="B134" s="32" t="s">
        <v>377</v>
      </c>
      <c r="C134" s="2" t="s">
        <v>378</v>
      </c>
      <c r="D134" s="3"/>
      <c r="E134" s="4"/>
    </row>
    <row r="135" spans="1:8" ht="13.5" customHeight="1">
      <c r="A135" s="20" t="s">
        <v>379</v>
      </c>
      <c r="B135" s="32" t="s">
        <v>380</v>
      </c>
      <c r="C135" s="2" t="s">
        <v>381</v>
      </c>
      <c r="D135" s="3"/>
      <c r="E135" s="4"/>
    </row>
    <row r="136" spans="1:8" ht="13.5" customHeight="1">
      <c r="A136" s="20" t="s">
        <v>382</v>
      </c>
      <c r="B136" s="32" t="s">
        <v>383</v>
      </c>
      <c r="C136" s="2" t="s">
        <v>384</v>
      </c>
      <c r="D136" s="3"/>
      <c r="E136" s="4"/>
      <c r="H136" s="1">
        <f>50*0.6</f>
        <v>30</v>
      </c>
    </row>
    <row r="137" spans="1:8" ht="15" customHeight="1">
      <c r="A137" s="20" t="s">
        <v>385</v>
      </c>
      <c r="B137" s="32" t="s">
        <v>386</v>
      </c>
      <c r="C137" s="2" t="s">
        <v>387</v>
      </c>
      <c r="D137" s="3"/>
      <c r="E137" s="4"/>
    </row>
    <row r="138" spans="1:8" ht="13.5" customHeight="1">
      <c r="A138" s="20" t="s">
        <v>388</v>
      </c>
      <c r="B138" s="32" t="s">
        <v>389</v>
      </c>
      <c r="C138" s="2" t="s">
        <v>390</v>
      </c>
      <c r="D138" s="3"/>
      <c r="E138" s="4"/>
      <c r="H138" s="1">
        <f>39*0.6</f>
        <v>23.4</v>
      </c>
    </row>
    <row r="139" spans="1:8" ht="13.5" customHeight="1">
      <c r="A139" s="20" t="s">
        <v>391</v>
      </c>
      <c r="B139" s="32" t="s">
        <v>392</v>
      </c>
      <c r="C139" s="2" t="s">
        <v>393</v>
      </c>
      <c r="D139" s="3"/>
      <c r="E139" s="4"/>
    </row>
    <row r="140" spans="1:8" ht="13.5" customHeight="1">
      <c r="A140" s="20" t="s">
        <v>394</v>
      </c>
      <c r="B140" s="32" t="s">
        <v>395</v>
      </c>
      <c r="C140" s="2" t="s">
        <v>396</v>
      </c>
      <c r="D140" s="3"/>
      <c r="E140" s="4"/>
      <c r="H140" s="1">
        <f>39*0.6</f>
        <v>23.4</v>
      </c>
    </row>
    <row r="141" spans="1:8" ht="13.5" customHeight="1">
      <c r="A141" s="20" t="s">
        <v>397</v>
      </c>
      <c r="B141" s="32" t="s">
        <v>398</v>
      </c>
      <c r="C141" s="2" t="s">
        <v>399</v>
      </c>
      <c r="D141" s="3"/>
      <c r="E141" s="4"/>
    </row>
    <row r="142" spans="1:8" ht="13.5" customHeight="1">
      <c r="A142" s="20" t="s">
        <v>400</v>
      </c>
      <c r="B142" s="32" t="s">
        <v>401</v>
      </c>
      <c r="C142" s="2" t="s">
        <v>402</v>
      </c>
      <c r="D142" s="3">
        <v>1.05</v>
      </c>
      <c r="E142" s="2" t="s">
        <v>15</v>
      </c>
      <c r="H142" s="1">
        <f>H133+H140+H136</f>
        <v>54.05</v>
      </c>
    </row>
    <row r="143" spans="1:8" ht="13.5" customHeight="1">
      <c r="A143" s="20" t="s">
        <v>403</v>
      </c>
      <c r="B143" s="32" t="s">
        <v>404</v>
      </c>
      <c r="C143" s="2" t="s">
        <v>405</v>
      </c>
      <c r="D143" s="3">
        <v>1.05</v>
      </c>
      <c r="E143" s="4"/>
    </row>
    <row r="144" spans="1:8" ht="13.5" customHeight="1">
      <c r="A144" s="20" t="s">
        <v>406</v>
      </c>
      <c r="B144" s="32" t="s">
        <v>407</v>
      </c>
      <c r="C144" s="2" t="s">
        <v>408</v>
      </c>
      <c r="D144" s="3">
        <v>1.05</v>
      </c>
      <c r="E144" s="2" t="s">
        <v>15</v>
      </c>
    </row>
    <row r="145" spans="1:9" ht="13.5" customHeight="1">
      <c r="A145" s="22" t="s">
        <v>409</v>
      </c>
      <c r="B145" s="31" t="s">
        <v>410</v>
      </c>
      <c r="C145" s="4">
        <v>321152</v>
      </c>
      <c r="D145" s="11">
        <v>1.05</v>
      </c>
      <c r="E145" s="4"/>
    </row>
    <row r="146" spans="1:9" ht="13.5" customHeight="1">
      <c r="A146" s="20" t="s">
        <v>411</v>
      </c>
      <c r="B146" s="32" t="s">
        <v>412</v>
      </c>
      <c r="C146" s="2" t="s">
        <v>413</v>
      </c>
      <c r="D146" s="3">
        <v>1.05</v>
      </c>
      <c r="E146" s="2" t="s">
        <v>15</v>
      </c>
    </row>
    <row r="147" spans="1:9" ht="13.5" customHeight="1">
      <c r="A147" s="20" t="s">
        <v>414</v>
      </c>
      <c r="B147" s="32" t="s">
        <v>415</v>
      </c>
      <c r="C147" s="2" t="s">
        <v>416</v>
      </c>
      <c r="D147" s="3">
        <v>1.1499999999999999</v>
      </c>
      <c r="E147" s="4"/>
    </row>
    <row r="148" spans="1:9" ht="13.5" customHeight="1">
      <c r="A148" s="22" t="s">
        <v>417</v>
      </c>
      <c r="B148" s="31" t="s">
        <v>418</v>
      </c>
      <c r="C148" s="4">
        <v>321185</v>
      </c>
      <c r="D148" s="11">
        <v>1.1499999999999999</v>
      </c>
      <c r="E148" s="4"/>
    </row>
    <row r="149" spans="1:9" ht="13.5" customHeight="1">
      <c r="A149" s="20" t="s">
        <v>419</v>
      </c>
      <c r="B149" s="32" t="s">
        <v>420</v>
      </c>
      <c r="C149" s="2" t="s">
        <v>421</v>
      </c>
      <c r="D149" s="3">
        <v>0.99</v>
      </c>
      <c r="E149" s="2" t="s">
        <v>15</v>
      </c>
    </row>
    <row r="150" spans="1:9" ht="13.5" customHeight="1">
      <c r="A150" s="20" t="s">
        <v>422</v>
      </c>
      <c r="B150" s="32" t="s">
        <v>423</v>
      </c>
      <c r="C150" s="2" t="s">
        <v>424</v>
      </c>
      <c r="D150" s="3"/>
      <c r="E150" s="4"/>
    </row>
    <row r="151" spans="1:9" ht="13.5" customHeight="1">
      <c r="A151" s="22" t="s">
        <v>319</v>
      </c>
      <c r="B151" s="31" t="s">
        <v>425</v>
      </c>
      <c r="C151" s="4">
        <v>322147</v>
      </c>
      <c r="D151" s="11">
        <v>1.25</v>
      </c>
      <c r="E151" s="4"/>
    </row>
    <row r="152" spans="1:9" ht="13.5" customHeight="1">
      <c r="A152" s="22" t="s">
        <v>319</v>
      </c>
      <c r="B152" s="31" t="s">
        <v>426</v>
      </c>
      <c r="C152" s="4">
        <v>322181</v>
      </c>
      <c r="D152" s="11">
        <v>1.25</v>
      </c>
      <c r="E152" s="4"/>
    </row>
    <row r="153" spans="1:9" ht="13.5" customHeight="1">
      <c r="A153" s="22" t="s">
        <v>319</v>
      </c>
      <c r="B153" s="31" t="s">
        <v>427</v>
      </c>
      <c r="C153" s="4">
        <v>322605</v>
      </c>
      <c r="D153" s="11">
        <v>1.1000000000000001</v>
      </c>
      <c r="E153" s="4"/>
    </row>
    <row r="154" spans="1:9" ht="13.5" customHeight="1">
      <c r="A154" s="20" t="s">
        <v>428</v>
      </c>
      <c r="B154" s="32" t="s">
        <v>429</v>
      </c>
      <c r="C154" s="2" t="s">
        <v>430</v>
      </c>
      <c r="D154" s="3">
        <v>0.98</v>
      </c>
      <c r="E154" s="2" t="s">
        <v>15</v>
      </c>
    </row>
    <row r="155" spans="1:9" ht="13.5" customHeight="1">
      <c r="A155" s="20" t="s">
        <v>431</v>
      </c>
      <c r="B155" s="32" t="s">
        <v>432</v>
      </c>
      <c r="C155" s="2" t="s">
        <v>433</v>
      </c>
      <c r="D155" s="3"/>
      <c r="E155" s="4"/>
    </row>
    <row r="156" spans="1:9" ht="13.5" customHeight="1">
      <c r="A156" s="20" t="s">
        <v>434</v>
      </c>
      <c r="B156" s="32" t="s">
        <v>435</v>
      </c>
      <c r="C156" s="2" t="s">
        <v>436</v>
      </c>
      <c r="D156" s="3"/>
      <c r="E156" s="4"/>
    </row>
    <row r="157" spans="1:9" ht="13.5" customHeight="1">
      <c r="A157" s="20" t="s">
        <v>437</v>
      </c>
      <c r="B157" s="32" t="s">
        <v>438</v>
      </c>
      <c r="C157" s="2" t="s">
        <v>439</v>
      </c>
      <c r="D157" s="3">
        <v>1.03</v>
      </c>
      <c r="E157" s="2" t="s">
        <v>15</v>
      </c>
    </row>
    <row r="158" spans="1:9" ht="13.5" customHeight="1">
      <c r="A158" s="20" t="s">
        <v>440</v>
      </c>
      <c r="B158" s="32" t="s">
        <v>441</v>
      </c>
      <c r="C158" s="2" t="s">
        <v>442</v>
      </c>
      <c r="D158" s="3">
        <v>0.98</v>
      </c>
      <c r="E158" s="2" t="s">
        <v>15</v>
      </c>
      <c r="I158" s="1">
        <f>1.1*8</f>
        <v>8.8000000000000007</v>
      </c>
    </row>
    <row r="159" spans="1:9" ht="13.5" customHeight="1">
      <c r="A159" s="22" t="s">
        <v>443</v>
      </c>
      <c r="B159" s="31" t="s">
        <v>444</v>
      </c>
      <c r="C159" s="4">
        <v>322623</v>
      </c>
      <c r="D159" s="11">
        <v>0.85</v>
      </c>
      <c r="E159" s="4"/>
    </row>
    <row r="160" spans="1:9" ht="13.5" customHeight="1">
      <c r="A160" s="22" t="s">
        <v>319</v>
      </c>
      <c r="B160" s="31" t="s">
        <v>445</v>
      </c>
      <c r="C160" s="4">
        <v>322639</v>
      </c>
      <c r="D160" s="11">
        <v>1.1000000000000001</v>
      </c>
      <c r="E160" s="4"/>
    </row>
    <row r="161" spans="1:8" ht="13.5" customHeight="1">
      <c r="A161" s="22" t="s">
        <v>443</v>
      </c>
      <c r="B161" s="31" t="s">
        <v>446</v>
      </c>
      <c r="C161" s="4">
        <v>322640</v>
      </c>
      <c r="D161" s="11">
        <v>0.85</v>
      </c>
      <c r="E161" s="4"/>
    </row>
    <row r="162" spans="1:8" ht="13.5" customHeight="1">
      <c r="A162" s="20" t="s">
        <v>447</v>
      </c>
      <c r="B162" s="32" t="s">
        <v>448</v>
      </c>
      <c r="C162" s="2" t="s">
        <v>449</v>
      </c>
      <c r="D162" s="3">
        <v>0.99</v>
      </c>
      <c r="E162" s="2" t="s">
        <v>15</v>
      </c>
    </row>
    <row r="163" spans="1:8" ht="13.5" customHeight="1">
      <c r="A163" s="20" t="s">
        <v>450</v>
      </c>
      <c r="B163" s="32" t="s">
        <v>451</v>
      </c>
      <c r="C163" s="2" t="s">
        <v>452</v>
      </c>
      <c r="D163" s="3">
        <v>0.85</v>
      </c>
      <c r="E163" s="2" t="s">
        <v>15</v>
      </c>
    </row>
    <row r="164" spans="1:8" ht="13.5" customHeight="1">
      <c r="A164" s="20" t="s">
        <v>453</v>
      </c>
      <c r="B164" s="32" t="s">
        <v>454</v>
      </c>
      <c r="C164" s="2" t="s">
        <v>455</v>
      </c>
      <c r="D164" s="3"/>
      <c r="E164" s="4"/>
    </row>
    <row r="165" spans="1:8" ht="13.5" customHeight="1">
      <c r="A165" s="20" t="s">
        <v>456</v>
      </c>
      <c r="B165" s="32" t="s">
        <v>457</v>
      </c>
      <c r="C165" s="2" t="s">
        <v>458</v>
      </c>
      <c r="D165" s="3">
        <v>0.9</v>
      </c>
      <c r="E165" s="4"/>
    </row>
    <row r="166" spans="1:8" ht="13.5" customHeight="1">
      <c r="A166" s="24" t="s">
        <v>459</v>
      </c>
      <c r="B166" s="31" t="s">
        <v>460</v>
      </c>
      <c r="C166" s="4">
        <v>322647</v>
      </c>
      <c r="D166" s="11">
        <v>1.1000000000000001</v>
      </c>
      <c r="E166" s="4"/>
    </row>
    <row r="167" spans="1:8" ht="13.5" customHeight="1">
      <c r="A167" s="20" t="s">
        <v>461</v>
      </c>
      <c r="B167" s="32" t="s">
        <v>462</v>
      </c>
      <c r="C167" s="2" t="s">
        <v>463</v>
      </c>
      <c r="D167" s="3"/>
      <c r="E167" s="4"/>
    </row>
    <row r="168" spans="1:8" ht="13.5" customHeight="1">
      <c r="A168" s="20" t="s">
        <v>464</v>
      </c>
      <c r="B168" s="32" t="s">
        <v>465</v>
      </c>
      <c r="C168" s="2" t="s">
        <v>466</v>
      </c>
      <c r="D168" s="3">
        <v>0.84</v>
      </c>
      <c r="E168" s="2" t="s">
        <v>15</v>
      </c>
    </row>
    <row r="169" spans="1:8" ht="13.5" customHeight="1">
      <c r="A169" s="20" t="s">
        <v>467</v>
      </c>
      <c r="B169" s="32" t="s">
        <v>468</v>
      </c>
      <c r="C169" s="2" t="s">
        <v>469</v>
      </c>
      <c r="D169" s="3">
        <v>0.84</v>
      </c>
      <c r="E169" s="2" t="s">
        <v>15</v>
      </c>
    </row>
    <row r="170" spans="1:8" ht="13.5" customHeight="1">
      <c r="A170" s="20" t="s">
        <v>470</v>
      </c>
      <c r="B170" s="32" t="s">
        <v>471</v>
      </c>
      <c r="C170" s="2" t="s">
        <v>472</v>
      </c>
      <c r="D170" s="3"/>
      <c r="E170" s="4"/>
    </row>
    <row r="171" spans="1:8" ht="13.5" customHeight="1">
      <c r="A171" s="20" t="s">
        <v>473</v>
      </c>
      <c r="B171" s="32" t="s">
        <v>474</v>
      </c>
      <c r="C171" s="2" t="s">
        <v>475</v>
      </c>
      <c r="D171" s="3"/>
      <c r="E171" s="4"/>
    </row>
    <row r="172" spans="1:8" ht="13.5" customHeight="1">
      <c r="A172" s="20" t="s">
        <v>476</v>
      </c>
      <c r="B172" s="32" t="s">
        <v>477</v>
      </c>
      <c r="C172" s="2" t="s">
        <v>478</v>
      </c>
      <c r="D172" s="3">
        <v>0.86</v>
      </c>
      <c r="E172" s="2" t="s">
        <v>15</v>
      </c>
    </row>
    <row r="173" spans="1:8" ht="13.5" customHeight="1">
      <c r="A173" s="20" t="s">
        <v>479</v>
      </c>
      <c r="B173" s="32" t="s">
        <v>480</v>
      </c>
      <c r="C173" s="2" t="s">
        <v>481</v>
      </c>
      <c r="D173" s="3">
        <v>0.86</v>
      </c>
      <c r="E173" s="2" t="s">
        <v>15</v>
      </c>
    </row>
    <row r="174" spans="1:8" ht="13.5" customHeight="1">
      <c r="A174" s="20" t="s">
        <v>482</v>
      </c>
      <c r="B174" s="32" t="s">
        <v>483</v>
      </c>
      <c r="C174" s="2" t="s">
        <v>484</v>
      </c>
      <c r="D174" s="3">
        <v>0.86</v>
      </c>
      <c r="E174" s="2" t="s">
        <v>15</v>
      </c>
    </row>
    <row r="175" spans="1:8" ht="13.5" customHeight="1">
      <c r="A175" s="20" t="s">
        <v>485</v>
      </c>
      <c r="B175" s="32" t="s">
        <v>486</v>
      </c>
      <c r="C175" s="2" t="s">
        <v>487</v>
      </c>
      <c r="D175" s="3">
        <v>0.86</v>
      </c>
      <c r="E175" s="2" t="s">
        <v>15</v>
      </c>
      <c r="H175" s="1">
        <f>1.05+8.8</f>
        <v>9.8500000000000014</v>
      </c>
    </row>
    <row r="176" spans="1:8" ht="13.5" customHeight="1">
      <c r="A176" s="20" t="s">
        <v>488</v>
      </c>
      <c r="B176" s="32" t="s">
        <v>489</v>
      </c>
      <c r="C176" s="2" t="s">
        <v>490</v>
      </c>
      <c r="D176" s="3">
        <v>0.86</v>
      </c>
      <c r="E176" s="2" t="s">
        <v>15</v>
      </c>
    </row>
    <row r="177" spans="1:5" ht="13.5" customHeight="1">
      <c r="A177" s="20" t="s">
        <v>491</v>
      </c>
      <c r="B177" s="32" t="s">
        <v>492</v>
      </c>
      <c r="C177" s="2" t="s">
        <v>493</v>
      </c>
      <c r="D177" s="3">
        <v>2.5</v>
      </c>
      <c r="E177" s="2" t="s">
        <v>63</v>
      </c>
    </row>
    <row r="178" spans="1:5" ht="13.5" customHeight="1">
      <c r="A178" s="22" t="s">
        <v>494</v>
      </c>
      <c r="B178" s="31" t="s">
        <v>495</v>
      </c>
      <c r="C178" s="4">
        <v>323424</v>
      </c>
      <c r="D178" s="11">
        <v>0.85</v>
      </c>
      <c r="E178" s="4"/>
    </row>
    <row r="179" spans="1:5" ht="13.5" customHeight="1">
      <c r="A179" s="22" t="s">
        <v>494</v>
      </c>
      <c r="B179" s="31" t="s">
        <v>496</v>
      </c>
      <c r="C179" s="4">
        <v>323425</v>
      </c>
      <c r="D179" s="11">
        <v>0.85</v>
      </c>
      <c r="E179" s="4"/>
    </row>
    <row r="180" spans="1:5" ht="13.5" customHeight="1">
      <c r="A180" s="20" t="s">
        <v>497</v>
      </c>
      <c r="B180" s="32" t="s">
        <v>498</v>
      </c>
      <c r="C180" s="2" t="s">
        <v>499</v>
      </c>
      <c r="D180" s="3">
        <v>0.85</v>
      </c>
      <c r="E180" s="2" t="s">
        <v>63</v>
      </c>
    </row>
    <row r="181" spans="1:5" ht="13.5" customHeight="1">
      <c r="A181" s="20" t="s">
        <v>500</v>
      </c>
      <c r="B181" s="32" t="s">
        <v>501</v>
      </c>
      <c r="C181" s="2" t="s">
        <v>502</v>
      </c>
      <c r="D181" s="3">
        <v>0.86</v>
      </c>
      <c r="E181" s="2" t="s">
        <v>15</v>
      </c>
    </row>
    <row r="182" spans="1:5" ht="13.5" customHeight="1">
      <c r="A182" s="20" t="s">
        <v>503</v>
      </c>
      <c r="B182" s="32" t="s">
        <v>504</v>
      </c>
      <c r="C182" s="2" t="s">
        <v>505</v>
      </c>
      <c r="D182" s="3">
        <v>0.85</v>
      </c>
      <c r="E182" s="2" t="s">
        <v>15</v>
      </c>
    </row>
    <row r="183" spans="1:5" ht="13.5" customHeight="1">
      <c r="A183" s="20" t="s">
        <v>506</v>
      </c>
      <c r="B183" s="32" t="s">
        <v>507</v>
      </c>
      <c r="C183" s="2" t="s">
        <v>508</v>
      </c>
      <c r="D183" s="3">
        <v>0.85</v>
      </c>
      <c r="E183" s="2" t="s">
        <v>63</v>
      </c>
    </row>
    <row r="184" spans="1:5" ht="13.5" customHeight="1">
      <c r="A184" s="20" t="s">
        <v>509</v>
      </c>
      <c r="B184" s="32" t="s">
        <v>510</v>
      </c>
      <c r="C184" s="2" t="s">
        <v>511</v>
      </c>
      <c r="D184" s="3">
        <v>0.92</v>
      </c>
      <c r="E184" s="2" t="s">
        <v>15</v>
      </c>
    </row>
    <row r="185" spans="1:5" ht="13.5" customHeight="1">
      <c r="A185" s="20" t="s">
        <v>512</v>
      </c>
      <c r="B185" s="32" t="s">
        <v>513</v>
      </c>
      <c r="C185" s="2" t="s">
        <v>514</v>
      </c>
      <c r="D185" s="3">
        <v>1.4</v>
      </c>
      <c r="E185" s="2" t="s">
        <v>15</v>
      </c>
    </row>
    <row r="186" spans="1:5" ht="13.5" customHeight="1">
      <c r="A186" s="20" t="s">
        <v>515</v>
      </c>
      <c r="B186" s="32" t="s">
        <v>516</v>
      </c>
      <c r="C186" s="2" t="s">
        <v>517</v>
      </c>
      <c r="D186" s="3">
        <v>1.44</v>
      </c>
      <c r="E186" s="2" t="s">
        <v>15</v>
      </c>
    </row>
    <row r="187" spans="1:5" ht="13.5" customHeight="1">
      <c r="A187" s="20" t="s">
        <v>518</v>
      </c>
      <c r="B187" s="32" t="s">
        <v>519</v>
      </c>
      <c r="C187" s="2" t="s">
        <v>520</v>
      </c>
      <c r="D187" s="3">
        <v>1</v>
      </c>
      <c r="E187" s="2" t="s">
        <v>15</v>
      </c>
    </row>
    <row r="188" spans="1:5" ht="13.5" customHeight="1">
      <c r="A188" s="20" t="s">
        <v>521</v>
      </c>
      <c r="B188" s="32" t="s">
        <v>522</v>
      </c>
      <c r="C188" s="2" t="s">
        <v>523</v>
      </c>
      <c r="D188" s="3">
        <v>0.9</v>
      </c>
      <c r="E188" s="2" t="s">
        <v>15</v>
      </c>
    </row>
    <row r="189" spans="1:5" ht="13.5" customHeight="1">
      <c r="A189" s="20" t="s">
        <v>524</v>
      </c>
      <c r="B189" s="32" t="s">
        <v>525</v>
      </c>
      <c r="C189" s="2" t="s">
        <v>526</v>
      </c>
      <c r="D189" s="3">
        <v>0.36</v>
      </c>
      <c r="E189" s="2" t="s">
        <v>15</v>
      </c>
    </row>
    <row r="190" spans="1:5" ht="13.5" customHeight="1">
      <c r="A190" s="20" t="s">
        <v>527</v>
      </c>
      <c r="B190" s="32" t="s">
        <v>528</v>
      </c>
      <c r="C190" s="2" t="s">
        <v>529</v>
      </c>
      <c r="D190" s="3">
        <v>1.5</v>
      </c>
      <c r="E190" s="2" t="s">
        <v>63</v>
      </c>
    </row>
    <row r="191" spans="1:5" ht="13.5" customHeight="1">
      <c r="A191" s="20" t="s">
        <v>530</v>
      </c>
      <c r="B191" s="32" t="s">
        <v>531</v>
      </c>
      <c r="C191" s="2" t="s">
        <v>532</v>
      </c>
      <c r="D191" s="3">
        <v>1.19</v>
      </c>
      <c r="E191" s="2" t="s">
        <v>15</v>
      </c>
    </row>
    <row r="192" spans="1:5" ht="13.5" customHeight="1">
      <c r="A192" s="20" t="s">
        <v>533</v>
      </c>
      <c r="B192" s="32" t="s">
        <v>534</v>
      </c>
      <c r="C192" s="2" t="s">
        <v>535</v>
      </c>
      <c r="D192" s="3">
        <v>1.24</v>
      </c>
      <c r="E192" s="2" t="s">
        <v>15</v>
      </c>
    </row>
    <row r="193" spans="1:5" ht="13.5" customHeight="1">
      <c r="A193" s="20" t="s">
        <v>536</v>
      </c>
      <c r="B193" s="32" t="s">
        <v>537</v>
      </c>
      <c r="C193" s="2" t="s">
        <v>538</v>
      </c>
      <c r="D193" s="3">
        <v>1.24</v>
      </c>
      <c r="E193" s="2" t="s">
        <v>15</v>
      </c>
    </row>
    <row r="194" spans="1:5" ht="13.5" customHeight="1">
      <c r="A194" s="20" t="s">
        <v>539</v>
      </c>
      <c r="B194" s="32" t="s">
        <v>540</v>
      </c>
      <c r="C194" s="2" t="s">
        <v>541</v>
      </c>
      <c r="D194" s="3">
        <v>1.28</v>
      </c>
      <c r="E194" s="2" t="s">
        <v>15</v>
      </c>
    </row>
    <row r="195" spans="1:5" ht="13.5" customHeight="1">
      <c r="A195" s="20" t="s">
        <v>542</v>
      </c>
      <c r="B195" s="32" t="s">
        <v>543</v>
      </c>
      <c r="C195" s="2" t="s">
        <v>544</v>
      </c>
      <c r="D195" s="3">
        <v>1.34</v>
      </c>
      <c r="E195" s="2" t="s">
        <v>15</v>
      </c>
    </row>
    <row r="196" spans="1:5" ht="13.5" customHeight="1">
      <c r="A196" s="20" t="s">
        <v>545</v>
      </c>
      <c r="B196" s="32" t="s">
        <v>546</v>
      </c>
      <c r="C196" s="2" t="s">
        <v>547</v>
      </c>
      <c r="D196" s="3">
        <v>1.27</v>
      </c>
      <c r="E196" s="2" t="s">
        <v>15</v>
      </c>
    </row>
    <row r="197" spans="1:5" ht="13.5" customHeight="1">
      <c r="A197" s="20" t="s">
        <v>548</v>
      </c>
      <c r="B197" s="32" t="s">
        <v>549</v>
      </c>
      <c r="C197" s="2" t="s">
        <v>550</v>
      </c>
      <c r="D197" s="3">
        <v>1.3</v>
      </c>
      <c r="E197" s="2" t="s">
        <v>15</v>
      </c>
    </row>
    <row r="198" spans="1:5" ht="13.5" customHeight="1">
      <c r="A198" s="20" t="s">
        <v>551</v>
      </c>
      <c r="B198" s="32" t="s">
        <v>552</v>
      </c>
      <c r="C198" s="2" t="s">
        <v>553</v>
      </c>
      <c r="D198" s="3">
        <v>1.32</v>
      </c>
      <c r="E198" s="2" t="s">
        <v>15</v>
      </c>
    </row>
    <row r="199" spans="1:5" ht="13.5" customHeight="1">
      <c r="A199" s="20" t="s">
        <v>554</v>
      </c>
      <c r="B199" s="32" t="s">
        <v>555</v>
      </c>
      <c r="C199" s="2" t="s">
        <v>556</v>
      </c>
      <c r="D199" s="3">
        <v>1.35</v>
      </c>
      <c r="E199" s="2" t="s">
        <v>15</v>
      </c>
    </row>
    <row r="200" spans="1:5" ht="13.5" customHeight="1">
      <c r="A200" s="20" t="s">
        <v>557</v>
      </c>
      <c r="B200" s="32" t="s">
        <v>558</v>
      </c>
      <c r="C200" s="2" t="s">
        <v>559</v>
      </c>
      <c r="D200" s="3">
        <v>1.32</v>
      </c>
      <c r="E200" s="2" t="s">
        <v>15</v>
      </c>
    </row>
    <row r="201" spans="1:5" ht="13.5" customHeight="1">
      <c r="A201" s="20" t="s">
        <v>560</v>
      </c>
      <c r="B201" s="32" t="s">
        <v>561</v>
      </c>
      <c r="C201" s="2" t="s">
        <v>562</v>
      </c>
      <c r="D201" s="3"/>
      <c r="E201" s="4"/>
    </row>
    <row r="202" spans="1:5" ht="13.5" customHeight="1">
      <c r="A202" s="20" t="s">
        <v>563</v>
      </c>
      <c r="B202" s="32" t="s">
        <v>564</v>
      </c>
      <c r="C202" s="2" t="s">
        <v>565</v>
      </c>
      <c r="D202" s="3"/>
      <c r="E202" s="4"/>
    </row>
    <row r="203" spans="1:5" ht="13.5" customHeight="1">
      <c r="A203" s="20" t="s">
        <v>566</v>
      </c>
      <c r="B203" s="32" t="s">
        <v>567</v>
      </c>
      <c r="C203" s="2" t="s">
        <v>568</v>
      </c>
      <c r="D203" s="3"/>
      <c r="E203" s="4"/>
    </row>
    <row r="204" spans="1:5" ht="13.5" customHeight="1">
      <c r="A204" s="20" t="s">
        <v>569</v>
      </c>
      <c r="B204" s="32" t="s">
        <v>570</v>
      </c>
      <c r="C204" s="2" t="s">
        <v>571</v>
      </c>
      <c r="D204" s="3"/>
      <c r="E204" s="4"/>
    </row>
    <row r="205" spans="1:5" ht="13.5" customHeight="1">
      <c r="A205" s="20" t="s">
        <v>572</v>
      </c>
      <c r="B205" s="32" t="s">
        <v>573</v>
      </c>
      <c r="C205" s="2" t="s">
        <v>574</v>
      </c>
      <c r="D205" s="3">
        <v>2.2000000000000002</v>
      </c>
      <c r="E205" s="4"/>
    </row>
    <row r="206" spans="1:5" ht="13.5" customHeight="1">
      <c r="A206" s="20" t="s">
        <v>575</v>
      </c>
      <c r="B206" s="32" t="s">
        <v>576</v>
      </c>
      <c r="C206" s="2">
        <v>331139</v>
      </c>
      <c r="D206" s="3"/>
      <c r="E206" s="4"/>
    </row>
    <row r="207" spans="1:5" ht="13.5" customHeight="1">
      <c r="A207" s="20" t="s">
        <v>577</v>
      </c>
      <c r="B207" s="32" t="s">
        <v>578</v>
      </c>
      <c r="C207" s="2" t="s">
        <v>579</v>
      </c>
      <c r="D207" s="3"/>
      <c r="E207" s="4"/>
    </row>
    <row r="208" spans="1:5" ht="13.5" customHeight="1">
      <c r="A208" s="20" t="s">
        <v>580</v>
      </c>
      <c r="B208" s="32" t="s">
        <v>581</v>
      </c>
      <c r="C208" s="2" t="s">
        <v>582</v>
      </c>
      <c r="D208" s="3"/>
      <c r="E208" s="4"/>
    </row>
    <row r="209" spans="1:5" ht="13.5" customHeight="1">
      <c r="A209" s="20" t="s">
        <v>583</v>
      </c>
      <c r="B209" s="32" t="s">
        <v>584</v>
      </c>
      <c r="C209" s="2" t="s">
        <v>585</v>
      </c>
      <c r="D209" s="3"/>
      <c r="E209" s="4"/>
    </row>
    <row r="210" spans="1:5" ht="13.5" customHeight="1">
      <c r="A210" s="20" t="s">
        <v>586</v>
      </c>
      <c r="B210" s="32" t="s">
        <v>587</v>
      </c>
      <c r="C210" s="2" t="s">
        <v>588</v>
      </c>
      <c r="D210" s="3"/>
      <c r="E210" s="4"/>
    </row>
    <row r="211" spans="1:5" ht="13.5" customHeight="1">
      <c r="A211" s="20" t="s">
        <v>589</v>
      </c>
      <c r="B211" s="32" t="s">
        <v>590</v>
      </c>
      <c r="C211" s="2" t="s">
        <v>591</v>
      </c>
      <c r="D211" s="3"/>
      <c r="E211" s="4"/>
    </row>
    <row r="212" spans="1:5" ht="13.5" customHeight="1">
      <c r="A212" s="20" t="s">
        <v>592</v>
      </c>
      <c r="B212" s="32" t="s">
        <v>593</v>
      </c>
      <c r="C212" s="2" t="s">
        <v>594</v>
      </c>
      <c r="D212" s="3"/>
      <c r="E212" s="4"/>
    </row>
    <row r="213" spans="1:5" ht="13.5" customHeight="1">
      <c r="A213" s="20" t="s">
        <v>595</v>
      </c>
      <c r="B213" s="32" t="s">
        <v>596</v>
      </c>
      <c r="C213" s="2" t="s">
        <v>597</v>
      </c>
      <c r="D213" s="3"/>
      <c r="E213" s="4"/>
    </row>
    <row r="214" spans="1:5" ht="13.5" customHeight="1">
      <c r="A214" s="20" t="s">
        <v>598</v>
      </c>
      <c r="B214" s="32" t="s">
        <v>599</v>
      </c>
      <c r="C214" s="2" t="s">
        <v>600</v>
      </c>
      <c r="D214" s="3"/>
      <c r="E214" s="4"/>
    </row>
    <row r="215" spans="1:5" ht="13.5" customHeight="1">
      <c r="A215" s="20" t="s">
        <v>601</v>
      </c>
      <c r="B215" s="32" t="s">
        <v>602</v>
      </c>
      <c r="C215" s="2" t="s">
        <v>603</v>
      </c>
      <c r="D215" s="3"/>
      <c r="E215" s="4"/>
    </row>
    <row r="216" spans="1:5" ht="13.5" customHeight="1">
      <c r="A216" s="20" t="s">
        <v>604</v>
      </c>
      <c r="B216" s="32" t="s">
        <v>605</v>
      </c>
      <c r="C216" s="2" t="s">
        <v>606</v>
      </c>
      <c r="D216" s="3"/>
      <c r="E216" s="4"/>
    </row>
    <row r="217" spans="1:5" ht="13.5" customHeight="1">
      <c r="A217" s="20" t="s">
        <v>607</v>
      </c>
      <c r="B217" s="32" t="s">
        <v>608</v>
      </c>
      <c r="C217" s="2" t="s">
        <v>609</v>
      </c>
      <c r="D217" s="3"/>
      <c r="E217" s="4"/>
    </row>
    <row r="218" spans="1:5" ht="13.5" customHeight="1">
      <c r="A218" s="20" t="s">
        <v>610</v>
      </c>
      <c r="B218" s="32" t="s">
        <v>611</v>
      </c>
      <c r="C218" s="2" t="s">
        <v>612</v>
      </c>
      <c r="D218" s="3"/>
      <c r="E218" s="4"/>
    </row>
    <row r="219" spans="1:5" ht="13.5" customHeight="1">
      <c r="A219" s="20" t="s">
        <v>613</v>
      </c>
      <c r="B219" s="32" t="s">
        <v>614</v>
      </c>
      <c r="C219" s="2" t="s">
        <v>615</v>
      </c>
      <c r="D219" s="3"/>
      <c r="E219" s="4"/>
    </row>
    <row r="220" spans="1:5" ht="13.5" customHeight="1">
      <c r="A220" s="20" t="s">
        <v>616</v>
      </c>
      <c r="B220" s="32" t="s">
        <v>617</v>
      </c>
      <c r="C220" s="2" t="s">
        <v>618</v>
      </c>
      <c r="D220" s="3"/>
      <c r="E220" s="4"/>
    </row>
    <row r="221" spans="1:5" ht="13.5" customHeight="1">
      <c r="A221" s="20" t="s">
        <v>619</v>
      </c>
      <c r="B221" s="32" t="s">
        <v>620</v>
      </c>
      <c r="C221" s="2" t="s">
        <v>621</v>
      </c>
      <c r="D221" s="3"/>
      <c r="E221" s="4"/>
    </row>
    <row r="222" spans="1:5" ht="13.5" customHeight="1">
      <c r="A222" s="20" t="s">
        <v>622</v>
      </c>
      <c r="B222" s="32" t="s">
        <v>623</v>
      </c>
      <c r="C222" s="2" t="s">
        <v>624</v>
      </c>
      <c r="D222" s="3"/>
      <c r="E222" s="4"/>
    </row>
    <row r="223" spans="1:5" ht="13.5" customHeight="1">
      <c r="A223" s="20" t="s">
        <v>625</v>
      </c>
      <c r="B223" s="32" t="s">
        <v>626</v>
      </c>
      <c r="C223" s="2" t="s">
        <v>627</v>
      </c>
      <c r="D223" s="3"/>
      <c r="E223" s="4"/>
    </row>
    <row r="224" spans="1:5" ht="13.5" customHeight="1">
      <c r="A224" s="20" t="s">
        <v>628</v>
      </c>
      <c r="B224" s="32" t="s">
        <v>629</v>
      </c>
      <c r="C224" s="2" t="s">
        <v>630</v>
      </c>
      <c r="D224" s="3"/>
      <c r="E224" s="4"/>
    </row>
    <row r="225" spans="1:5" ht="13.5" customHeight="1">
      <c r="A225" s="20" t="s">
        <v>631</v>
      </c>
      <c r="B225" s="32" t="s">
        <v>632</v>
      </c>
      <c r="C225" s="2" t="s">
        <v>633</v>
      </c>
      <c r="D225" s="3"/>
      <c r="E225" s="4"/>
    </row>
    <row r="226" spans="1:5" ht="13.5" customHeight="1">
      <c r="A226" s="20" t="s">
        <v>634</v>
      </c>
      <c r="B226" s="32" t="s">
        <v>635</v>
      </c>
      <c r="C226" s="2" t="s">
        <v>636</v>
      </c>
      <c r="D226" s="3"/>
      <c r="E226" s="4"/>
    </row>
    <row r="227" spans="1:5" ht="13.5" customHeight="1">
      <c r="A227" s="20" t="s">
        <v>637</v>
      </c>
      <c r="B227" s="32" t="s">
        <v>638</v>
      </c>
      <c r="C227" s="2" t="s">
        <v>639</v>
      </c>
      <c r="D227" s="3"/>
      <c r="E227" s="4"/>
    </row>
    <row r="228" spans="1:5" ht="13.5" customHeight="1">
      <c r="A228" s="20" t="s">
        <v>640</v>
      </c>
      <c r="B228" s="32" t="s">
        <v>641</v>
      </c>
      <c r="C228" s="2" t="s">
        <v>642</v>
      </c>
      <c r="D228" s="3"/>
      <c r="E228" s="4"/>
    </row>
    <row r="229" spans="1:5" ht="13.5" customHeight="1">
      <c r="A229" s="20" t="s">
        <v>643</v>
      </c>
      <c r="B229" s="32" t="s">
        <v>644</v>
      </c>
      <c r="C229" s="2" t="s">
        <v>645</v>
      </c>
      <c r="D229" s="3"/>
      <c r="E229" s="4"/>
    </row>
    <row r="230" spans="1:5" ht="13.5" customHeight="1">
      <c r="A230" s="20" t="s">
        <v>646</v>
      </c>
      <c r="B230" s="32" t="s">
        <v>647</v>
      </c>
      <c r="C230" s="2" t="s">
        <v>648</v>
      </c>
      <c r="D230" s="3"/>
      <c r="E230" s="4"/>
    </row>
    <row r="231" spans="1:5" ht="13.5" customHeight="1">
      <c r="A231" s="20" t="s">
        <v>649</v>
      </c>
      <c r="B231" s="32" t="s">
        <v>650</v>
      </c>
      <c r="C231" s="2" t="s">
        <v>651</v>
      </c>
      <c r="D231" s="3"/>
      <c r="E231" s="4"/>
    </row>
    <row r="232" spans="1:5" ht="13.5" customHeight="1">
      <c r="A232" s="20" t="s">
        <v>652</v>
      </c>
      <c r="B232" s="32" t="s">
        <v>653</v>
      </c>
      <c r="C232" s="2" t="s">
        <v>654</v>
      </c>
      <c r="D232" s="3"/>
      <c r="E232" s="4"/>
    </row>
    <row r="233" spans="1:5" ht="13.5" customHeight="1">
      <c r="A233" s="20" t="s">
        <v>655</v>
      </c>
      <c r="B233" s="32" t="s">
        <v>656</v>
      </c>
      <c r="C233" s="2" t="s">
        <v>657</v>
      </c>
      <c r="D233" s="3"/>
      <c r="E233" s="4"/>
    </row>
    <row r="234" spans="1:5" ht="13.5" customHeight="1">
      <c r="A234" s="20" t="s">
        <v>658</v>
      </c>
      <c r="B234" s="32" t="s">
        <v>659</v>
      </c>
      <c r="C234" s="2" t="s">
        <v>660</v>
      </c>
      <c r="D234" s="3"/>
      <c r="E234" s="4"/>
    </row>
    <row r="235" spans="1:5" ht="13.5" customHeight="1">
      <c r="A235" s="20" t="s">
        <v>661</v>
      </c>
      <c r="B235" s="32" t="s">
        <v>662</v>
      </c>
      <c r="C235" s="2" t="s">
        <v>663</v>
      </c>
      <c r="D235" s="3"/>
      <c r="E235" s="4"/>
    </row>
    <row r="236" spans="1:5" ht="13.5" customHeight="1">
      <c r="A236" s="20" t="s">
        <v>664</v>
      </c>
      <c r="B236" s="32" t="s">
        <v>665</v>
      </c>
      <c r="C236" s="2" t="s">
        <v>666</v>
      </c>
      <c r="D236" s="3"/>
      <c r="E236" s="4"/>
    </row>
    <row r="237" spans="1:5" ht="13.5" customHeight="1">
      <c r="A237" s="20" t="s">
        <v>667</v>
      </c>
      <c r="B237" s="32" t="s">
        <v>668</v>
      </c>
      <c r="C237" s="2" t="s">
        <v>669</v>
      </c>
      <c r="D237" s="3"/>
      <c r="E237" s="4"/>
    </row>
    <row r="238" spans="1:5" ht="13.5" customHeight="1">
      <c r="A238" s="20" t="s">
        <v>670</v>
      </c>
      <c r="B238" s="32" t="s">
        <v>671</v>
      </c>
      <c r="C238" s="2" t="s">
        <v>672</v>
      </c>
      <c r="D238" s="3"/>
      <c r="E238" s="4"/>
    </row>
    <row r="239" spans="1:5" ht="13.5" customHeight="1">
      <c r="A239" s="20" t="s">
        <v>673</v>
      </c>
      <c r="B239" s="32" t="s">
        <v>674</v>
      </c>
      <c r="C239" s="2" t="s">
        <v>675</v>
      </c>
      <c r="D239" s="3"/>
      <c r="E239" s="4"/>
    </row>
    <row r="240" spans="1:5" ht="13.5" customHeight="1">
      <c r="A240" s="20" t="s">
        <v>676</v>
      </c>
      <c r="B240" s="32" t="s">
        <v>677</v>
      </c>
      <c r="C240" s="2" t="s">
        <v>678</v>
      </c>
      <c r="D240" s="3"/>
      <c r="E240" s="4"/>
    </row>
    <row r="241" spans="1:5" ht="13.5" customHeight="1">
      <c r="A241" s="20" t="s">
        <v>679</v>
      </c>
      <c r="B241" s="32" t="s">
        <v>680</v>
      </c>
      <c r="C241" s="2" t="s">
        <v>681</v>
      </c>
      <c r="D241" s="3"/>
      <c r="E241" s="4"/>
    </row>
    <row r="242" spans="1:5" ht="13.5" customHeight="1">
      <c r="A242" s="20" t="s">
        <v>682</v>
      </c>
      <c r="B242" s="32" t="s">
        <v>683</v>
      </c>
      <c r="C242" s="2" t="s">
        <v>684</v>
      </c>
      <c r="D242" s="3"/>
      <c r="E242" s="4"/>
    </row>
    <row r="243" spans="1:5" ht="13.5" customHeight="1">
      <c r="A243" s="20" t="s">
        <v>685</v>
      </c>
      <c r="B243" s="32" t="s">
        <v>686</v>
      </c>
      <c r="C243" s="2" t="s">
        <v>687</v>
      </c>
      <c r="D243" s="3">
        <v>2.3199999999999998</v>
      </c>
      <c r="E243" s="4" t="s">
        <v>15</v>
      </c>
    </row>
    <row r="244" spans="1:5" ht="13.5" customHeight="1">
      <c r="A244" s="20" t="s">
        <v>688</v>
      </c>
      <c r="B244" s="32" t="s">
        <v>689</v>
      </c>
      <c r="C244" s="2" t="s">
        <v>690</v>
      </c>
      <c r="D244" s="3">
        <v>1.87</v>
      </c>
      <c r="E244" s="4" t="s">
        <v>15</v>
      </c>
    </row>
    <row r="245" spans="1:5" ht="13.5" customHeight="1">
      <c r="A245" s="20" t="s">
        <v>691</v>
      </c>
      <c r="B245" s="32" t="s">
        <v>692</v>
      </c>
      <c r="C245" s="2" t="s">
        <v>693</v>
      </c>
      <c r="D245" s="3"/>
      <c r="E245" s="4"/>
    </row>
    <row r="246" spans="1:5" ht="13.5" customHeight="1">
      <c r="A246" s="20" t="s">
        <v>694</v>
      </c>
      <c r="B246" s="32" t="s">
        <v>695</v>
      </c>
      <c r="C246" s="2" t="s">
        <v>696</v>
      </c>
      <c r="D246" s="3"/>
      <c r="E246" s="4"/>
    </row>
    <row r="247" spans="1:5" ht="13.5" customHeight="1">
      <c r="A247" s="20" t="s">
        <v>697</v>
      </c>
      <c r="B247" s="32" t="s">
        <v>698</v>
      </c>
      <c r="C247" s="2" t="s">
        <v>699</v>
      </c>
      <c r="D247" s="3"/>
      <c r="E247" s="4"/>
    </row>
    <row r="248" spans="1:5" ht="13.5" customHeight="1">
      <c r="A248" s="20" t="s">
        <v>700</v>
      </c>
      <c r="B248" s="32" t="s">
        <v>701</v>
      </c>
      <c r="C248" s="2" t="s">
        <v>702</v>
      </c>
      <c r="D248" s="3"/>
      <c r="E248" s="4"/>
    </row>
    <row r="249" spans="1:5" ht="13.5" customHeight="1">
      <c r="A249" s="20" t="s">
        <v>703</v>
      </c>
      <c r="B249" s="32" t="s">
        <v>704</v>
      </c>
      <c r="C249" s="2" t="s">
        <v>705</v>
      </c>
      <c r="D249" s="3"/>
      <c r="E249" s="4"/>
    </row>
    <row r="250" spans="1:5" ht="13.5" customHeight="1">
      <c r="A250" s="20" t="s">
        <v>706</v>
      </c>
      <c r="B250" s="32" t="s">
        <v>707</v>
      </c>
      <c r="C250" s="2" t="s">
        <v>708</v>
      </c>
      <c r="D250" s="3"/>
      <c r="E250" s="4"/>
    </row>
    <row r="251" spans="1:5" ht="13.5" customHeight="1">
      <c r="A251" s="20" t="s">
        <v>709</v>
      </c>
      <c r="B251" s="32" t="s">
        <v>710</v>
      </c>
      <c r="C251" s="2" t="s">
        <v>711</v>
      </c>
      <c r="D251" s="3"/>
      <c r="E251" s="4"/>
    </row>
    <row r="252" spans="1:5" ht="13.5" customHeight="1">
      <c r="A252" s="20" t="s">
        <v>712</v>
      </c>
      <c r="B252" s="32" t="s">
        <v>713</v>
      </c>
      <c r="C252" s="2" t="s">
        <v>714</v>
      </c>
      <c r="D252" s="3"/>
      <c r="E252" s="4"/>
    </row>
    <row r="253" spans="1:5" ht="13.5" customHeight="1">
      <c r="A253" s="20" t="s">
        <v>715</v>
      </c>
      <c r="B253" s="32" t="s">
        <v>716</v>
      </c>
      <c r="C253" s="2" t="s">
        <v>717</v>
      </c>
      <c r="D253" s="3"/>
      <c r="E253" s="4"/>
    </row>
    <row r="254" spans="1:5" ht="13.5" customHeight="1">
      <c r="A254" s="20" t="s">
        <v>718</v>
      </c>
      <c r="B254" s="32" t="s">
        <v>719</v>
      </c>
      <c r="C254" s="2" t="s">
        <v>720</v>
      </c>
      <c r="D254" s="3"/>
      <c r="E254" s="4"/>
    </row>
    <row r="255" spans="1:5" ht="13.5" customHeight="1">
      <c r="A255" s="20" t="s">
        <v>721</v>
      </c>
      <c r="B255" s="32" t="s">
        <v>722</v>
      </c>
      <c r="C255" s="2" t="s">
        <v>723</v>
      </c>
      <c r="D255" s="3"/>
      <c r="E255" s="4"/>
    </row>
    <row r="256" spans="1:5" ht="13.5" customHeight="1">
      <c r="A256" s="20" t="s">
        <v>724</v>
      </c>
      <c r="B256" s="32" t="s">
        <v>725</v>
      </c>
      <c r="C256" s="2" t="s">
        <v>726</v>
      </c>
      <c r="D256" s="3"/>
      <c r="E256" s="4"/>
    </row>
    <row r="257" spans="1:5" ht="13.5" customHeight="1">
      <c r="A257" s="20" t="s">
        <v>727</v>
      </c>
      <c r="B257" s="32" t="s">
        <v>728</v>
      </c>
      <c r="C257" s="2" t="s">
        <v>729</v>
      </c>
      <c r="D257" s="3"/>
      <c r="E257" s="4"/>
    </row>
    <row r="258" spans="1:5" ht="13.5" customHeight="1">
      <c r="A258" s="20" t="s">
        <v>730</v>
      </c>
      <c r="B258" s="32" t="s">
        <v>731</v>
      </c>
      <c r="C258" s="2" t="s">
        <v>732</v>
      </c>
      <c r="D258" s="3"/>
      <c r="E258" s="4"/>
    </row>
    <row r="259" spans="1:5" ht="13.5" customHeight="1">
      <c r="A259" s="20" t="s">
        <v>733</v>
      </c>
      <c r="B259" s="32" t="s">
        <v>734</v>
      </c>
      <c r="C259" s="2" t="s">
        <v>735</v>
      </c>
      <c r="D259" s="3"/>
      <c r="E259" s="4"/>
    </row>
    <row r="260" spans="1:5" ht="13.5" customHeight="1">
      <c r="A260" s="20" t="s">
        <v>736</v>
      </c>
      <c r="B260" s="32" t="s">
        <v>737</v>
      </c>
      <c r="C260" s="2" t="s">
        <v>738</v>
      </c>
      <c r="D260" s="3"/>
      <c r="E260" s="4"/>
    </row>
    <row r="261" spans="1:5" ht="13.5" customHeight="1">
      <c r="A261" s="20" t="s">
        <v>739</v>
      </c>
      <c r="B261" s="32" t="s">
        <v>740</v>
      </c>
      <c r="C261" s="2" t="s">
        <v>741</v>
      </c>
      <c r="D261" s="3">
        <v>1.8</v>
      </c>
      <c r="E261" s="4" t="s">
        <v>15</v>
      </c>
    </row>
    <row r="262" spans="1:5" ht="13.5" customHeight="1">
      <c r="A262" s="20" t="s">
        <v>742</v>
      </c>
      <c r="B262" s="32" t="s">
        <v>743</v>
      </c>
      <c r="C262" s="2" t="s">
        <v>744</v>
      </c>
      <c r="D262" s="3"/>
      <c r="E262" s="4"/>
    </row>
    <row r="263" spans="1:5" ht="13.5" customHeight="1">
      <c r="A263" s="20" t="s">
        <v>745</v>
      </c>
      <c r="B263" s="32" t="s">
        <v>746</v>
      </c>
      <c r="C263" s="2" t="s">
        <v>747</v>
      </c>
      <c r="D263" s="3">
        <v>2.3199999999999998</v>
      </c>
      <c r="E263" s="4" t="s">
        <v>15</v>
      </c>
    </row>
    <row r="264" spans="1:5" ht="13.5" customHeight="1">
      <c r="A264" s="20" t="s">
        <v>748</v>
      </c>
      <c r="B264" s="32" t="s">
        <v>749</v>
      </c>
      <c r="C264" s="2" t="s">
        <v>750</v>
      </c>
      <c r="D264" s="3"/>
      <c r="E264" s="4"/>
    </row>
    <row r="265" spans="1:5" ht="13.5" customHeight="1">
      <c r="A265" s="20" t="s">
        <v>751</v>
      </c>
      <c r="B265" s="32" t="s">
        <v>752</v>
      </c>
      <c r="C265" s="2" t="s">
        <v>753</v>
      </c>
      <c r="D265" s="3"/>
      <c r="E265" s="4"/>
    </row>
    <row r="266" spans="1:5" ht="13.5" customHeight="1">
      <c r="A266" s="20" t="s">
        <v>754</v>
      </c>
      <c r="B266" s="32" t="s">
        <v>755</v>
      </c>
      <c r="C266" s="2" t="s">
        <v>756</v>
      </c>
      <c r="D266" s="3"/>
      <c r="E266" s="4"/>
    </row>
    <row r="267" spans="1:5" ht="13.5" customHeight="1">
      <c r="A267" s="20" t="s">
        <v>757</v>
      </c>
      <c r="B267" s="32" t="s">
        <v>758</v>
      </c>
      <c r="C267" s="2" t="s">
        <v>759</v>
      </c>
      <c r="D267" s="3"/>
      <c r="E267" s="4"/>
    </row>
    <row r="268" spans="1:5" ht="13.5" customHeight="1">
      <c r="A268" s="20" t="s">
        <v>760</v>
      </c>
      <c r="B268" s="32" t="s">
        <v>761</v>
      </c>
      <c r="C268" s="2" t="s">
        <v>762</v>
      </c>
      <c r="D268" s="3">
        <v>2.02</v>
      </c>
      <c r="E268" s="4" t="s">
        <v>15</v>
      </c>
    </row>
    <row r="269" spans="1:5" ht="13.5" customHeight="1">
      <c r="A269" s="20" t="s">
        <v>763</v>
      </c>
      <c r="B269" s="32" t="s">
        <v>764</v>
      </c>
      <c r="C269" s="2" t="s">
        <v>765</v>
      </c>
      <c r="D269" s="3"/>
      <c r="E269" s="4"/>
    </row>
    <row r="270" spans="1:5" ht="13.5" customHeight="1">
      <c r="A270" s="20" t="s">
        <v>766</v>
      </c>
      <c r="B270" s="32" t="s">
        <v>767</v>
      </c>
      <c r="C270" s="2" t="s">
        <v>768</v>
      </c>
      <c r="D270" s="3"/>
      <c r="E270" s="4"/>
    </row>
    <row r="271" spans="1:5" ht="13.5" customHeight="1">
      <c r="A271" s="20" t="s">
        <v>769</v>
      </c>
      <c r="B271" s="32" t="s">
        <v>770</v>
      </c>
      <c r="C271" s="2" t="s">
        <v>771</v>
      </c>
      <c r="D271" s="3"/>
      <c r="E271" s="4"/>
    </row>
    <row r="272" spans="1:5" ht="13.5" customHeight="1">
      <c r="A272" s="20" t="s">
        <v>772</v>
      </c>
      <c r="B272" s="32" t="s">
        <v>773</v>
      </c>
      <c r="C272" s="2" t="s">
        <v>774</v>
      </c>
      <c r="D272" s="3"/>
      <c r="E272" s="4"/>
    </row>
    <row r="273" spans="1:5" ht="13.5" customHeight="1">
      <c r="A273" s="20" t="s">
        <v>775</v>
      </c>
      <c r="B273" s="32" t="s">
        <v>776</v>
      </c>
      <c r="C273" s="2" t="s">
        <v>777</v>
      </c>
      <c r="D273" s="3"/>
      <c r="E273" s="4"/>
    </row>
    <row r="274" spans="1:5" ht="13.5" customHeight="1">
      <c r="A274" s="20" t="s">
        <v>778</v>
      </c>
      <c r="B274" s="32" t="s">
        <v>779</v>
      </c>
      <c r="C274" s="2" t="s">
        <v>780</v>
      </c>
      <c r="D274" s="3"/>
      <c r="E274" s="4"/>
    </row>
    <row r="275" spans="1:5" ht="13.5" customHeight="1">
      <c r="A275" s="20" t="s">
        <v>781</v>
      </c>
      <c r="B275" s="32" t="s">
        <v>782</v>
      </c>
      <c r="C275" s="2" t="s">
        <v>783</v>
      </c>
      <c r="D275" s="3"/>
      <c r="E275" s="4"/>
    </row>
    <row r="276" spans="1:5" ht="13.5" customHeight="1">
      <c r="A276" s="20" t="s">
        <v>784</v>
      </c>
      <c r="B276" s="32" t="s">
        <v>785</v>
      </c>
      <c r="C276" s="2" t="s">
        <v>786</v>
      </c>
      <c r="D276" s="3"/>
      <c r="E276" s="4"/>
    </row>
    <row r="277" spans="1:5" ht="13.5" customHeight="1">
      <c r="A277" s="20" t="s">
        <v>787</v>
      </c>
      <c r="B277" s="32" t="s">
        <v>788</v>
      </c>
      <c r="C277" s="2" t="s">
        <v>789</v>
      </c>
      <c r="D277" s="3"/>
      <c r="E277" s="4"/>
    </row>
    <row r="278" spans="1:5" ht="13.5" customHeight="1">
      <c r="A278" s="20" t="s">
        <v>790</v>
      </c>
      <c r="B278" s="32" t="s">
        <v>791</v>
      </c>
      <c r="C278" s="2" t="s">
        <v>792</v>
      </c>
      <c r="D278" s="3"/>
      <c r="E278" s="4"/>
    </row>
    <row r="279" spans="1:5" ht="13.5" customHeight="1">
      <c r="A279" s="20" t="s">
        <v>793</v>
      </c>
      <c r="B279" s="32" t="s">
        <v>794</v>
      </c>
      <c r="C279" s="2" t="s">
        <v>795</v>
      </c>
      <c r="D279" s="3"/>
      <c r="E279" s="4"/>
    </row>
    <row r="280" spans="1:5" ht="13.5" customHeight="1">
      <c r="A280" s="20" t="s">
        <v>796</v>
      </c>
      <c r="B280" s="32" t="s">
        <v>797</v>
      </c>
      <c r="C280" s="2" t="s">
        <v>798</v>
      </c>
      <c r="D280" s="3"/>
      <c r="E280" s="4"/>
    </row>
    <row r="281" spans="1:5" ht="13.5" customHeight="1">
      <c r="A281" s="20" t="s">
        <v>799</v>
      </c>
      <c r="B281" s="32" t="s">
        <v>800</v>
      </c>
      <c r="C281" s="2" t="s">
        <v>801</v>
      </c>
      <c r="D281" s="3"/>
      <c r="E281" s="4"/>
    </row>
    <row r="282" spans="1:5" ht="13.5" customHeight="1">
      <c r="A282" s="20" t="s">
        <v>802</v>
      </c>
      <c r="B282" s="32" t="s">
        <v>803</v>
      </c>
      <c r="C282" s="2" t="s">
        <v>804</v>
      </c>
      <c r="D282" s="3"/>
      <c r="E282" s="4"/>
    </row>
    <row r="283" spans="1:5" ht="13.5" customHeight="1">
      <c r="A283" s="20" t="s">
        <v>805</v>
      </c>
      <c r="B283" s="32" t="s">
        <v>806</v>
      </c>
      <c r="C283" s="2" t="s">
        <v>807</v>
      </c>
      <c r="D283" s="3"/>
      <c r="E283" s="4"/>
    </row>
    <row r="284" spans="1:5" ht="13.5" customHeight="1">
      <c r="A284" s="20" t="s">
        <v>808</v>
      </c>
      <c r="B284" s="32" t="s">
        <v>809</v>
      </c>
      <c r="C284" s="2" t="s">
        <v>810</v>
      </c>
      <c r="D284" s="3"/>
      <c r="E284" s="4"/>
    </row>
    <row r="285" spans="1:5" ht="13.5" customHeight="1">
      <c r="A285" s="20" t="s">
        <v>811</v>
      </c>
      <c r="B285" s="32" t="s">
        <v>812</v>
      </c>
      <c r="C285" s="2" t="s">
        <v>813</v>
      </c>
      <c r="D285" s="3"/>
      <c r="E285" s="4"/>
    </row>
    <row r="286" spans="1:5" ht="13.5" customHeight="1">
      <c r="A286" s="20" t="s">
        <v>814</v>
      </c>
      <c r="B286" s="32" t="s">
        <v>815</v>
      </c>
      <c r="C286" s="2" t="s">
        <v>816</v>
      </c>
      <c r="D286" s="3"/>
      <c r="E286" s="4"/>
    </row>
    <row r="287" spans="1:5" ht="13.5" customHeight="1">
      <c r="A287" s="20" t="s">
        <v>817</v>
      </c>
      <c r="B287" s="32" t="s">
        <v>818</v>
      </c>
      <c r="C287" s="2" t="s">
        <v>819</v>
      </c>
      <c r="D287" s="3"/>
      <c r="E287" s="4"/>
    </row>
    <row r="288" spans="1:5" ht="13.5" customHeight="1">
      <c r="A288" s="20" t="s">
        <v>820</v>
      </c>
      <c r="B288" s="32" t="s">
        <v>821</v>
      </c>
      <c r="C288" s="2" t="s">
        <v>822</v>
      </c>
      <c r="D288" s="3"/>
      <c r="E288" s="4"/>
    </row>
    <row r="289" spans="1:5" ht="13.5" customHeight="1">
      <c r="A289" s="20" t="s">
        <v>823</v>
      </c>
      <c r="B289" s="32" t="s">
        <v>824</v>
      </c>
      <c r="C289" s="2" t="s">
        <v>825</v>
      </c>
      <c r="D289" s="3"/>
      <c r="E289" s="4"/>
    </row>
    <row r="290" spans="1:5" ht="13.5" customHeight="1">
      <c r="A290" s="20" t="s">
        <v>826</v>
      </c>
      <c r="B290" s="32" t="s">
        <v>827</v>
      </c>
      <c r="C290" s="2" t="s">
        <v>828</v>
      </c>
      <c r="D290" s="3"/>
      <c r="E290" s="4"/>
    </row>
    <row r="291" spans="1:5" ht="13.5" customHeight="1">
      <c r="A291" s="20" t="s">
        <v>829</v>
      </c>
      <c r="B291" s="32" t="s">
        <v>830</v>
      </c>
      <c r="C291" s="2" t="s">
        <v>831</v>
      </c>
      <c r="D291" s="3"/>
      <c r="E291" s="4"/>
    </row>
    <row r="292" spans="1:5" ht="13.5" customHeight="1">
      <c r="A292" s="20" t="s">
        <v>832</v>
      </c>
      <c r="B292" s="32" t="s">
        <v>833</v>
      </c>
      <c r="C292" s="2" t="s">
        <v>834</v>
      </c>
      <c r="D292" s="3"/>
      <c r="E292" s="4"/>
    </row>
    <row r="293" spans="1:5" ht="13.5" customHeight="1">
      <c r="A293" s="20" t="s">
        <v>835</v>
      </c>
      <c r="B293" s="32" t="s">
        <v>836</v>
      </c>
      <c r="C293" s="2" t="s">
        <v>837</v>
      </c>
      <c r="D293" s="3"/>
      <c r="E293" s="4"/>
    </row>
    <row r="294" spans="1:5" ht="13.5" customHeight="1">
      <c r="A294" s="20" t="s">
        <v>838</v>
      </c>
      <c r="B294" s="32" t="s">
        <v>839</v>
      </c>
      <c r="C294" s="2" t="s">
        <v>840</v>
      </c>
      <c r="D294" s="3"/>
      <c r="E294" s="4"/>
    </row>
    <row r="295" spans="1:5" ht="13.5" customHeight="1">
      <c r="A295" s="20" t="s">
        <v>841</v>
      </c>
      <c r="B295" s="32" t="s">
        <v>842</v>
      </c>
      <c r="C295" s="2" t="s">
        <v>843</v>
      </c>
      <c r="D295" s="3"/>
      <c r="E295" s="4"/>
    </row>
    <row r="296" spans="1:5" ht="13.5" customHeight="1">
      <c r="A296" s="20" t="s">
        <v>844</v>
      </c>
      <c r="B296" s="32" t="s">
        <v>845</v>
      </c>
      <c r="C296" s="2" t="s">
        <v>846</v>
      </c>
      <c r="D296" s="3"/>
      <c r="E296" s="4"/>
    </row>
    <row r="297" spans="1:5" ht="13.5" customHeight="1">
      <c r="A297" s="20" t="s">
        <v>847</v>
      </c>
      <c r="B297" s="32" t="s">
        <v>848</v>
      </c>
      <c r="C297" s="2" t="s">
        <v>849</v>
      </c>
      <c r="D297" s="3"/>
      <c r="E297" s="4"/>
    </row>
    <row r="298" spans="1:5" ht="13.5" customHeight="1">
      <c r="A298" s="20" t="s">
        <v>850</v>
      </c>
      <c r="B298" s="32" t="s">
        <v>851</v>
      </c>
      <c r="C298" s="2" t="s">
        <v>852</v>
      </c>
      <c r="D298" s="3"/>
      <c r="E298" s="4"/>
    </row>
    <row r="299" spans="1:5" ht="13.5" customHeight="1">
      <c r="A299" s="28" t="s">
        <v>853</v>
      </c>
      <c r="B299" s="32" t="s">
        <v>854</v>
      </c>
      <c r="C299" s="2" t="s">
        <v>855</v>
      </c>
      <c r="D299" s="3"/>
      <c r="E299" s="4"/>
    </row>
    <row r="300" spans="1:5" ht="13.5" customHeight="1">
      <c r="A300" s="20" t="s">
        <v>856</v>
      </c>
      <c r="B300" s="32" t="s">
        <v>857</v>
      </c>
      <c r="C300" s="2" t="s">
        <v>858</v>
      </c>
      <c r="D300" s="3"/>
      <c r="E300" s="4"/>
    </row>
    <row r="301" spans="1:5" ht="13.5" customHeight="1">
      <c r="A301" s="20" t="s">
        <v>859</v>
      </c>
      <c r="B301" s="32" t="s">
        <v>860</v>
      </c>
      <c r="C301" s="2" t="s">
        <v>861</v>
      </c>
      <c r="D301" s="3"/>
      <c r="E301" s="4"/>
    </row>
    <row r="302" spans="1:5" ht="13.5" customHeight="1">
      <c r="A302" s="20" t="s">
        <v>862</v>
      </c>
      <c r="B302" s="32" t="s">
        <v>863</v>
      </c>
      <c r="C302" s="2" t="s">
        <v>864</v>
      </c>
      <c r="D302" s="3"/>
      <c r="E302" s="4"/>
    </row>
    <row r="303" spans="1:5" ht="13.5" customHeight="1">
      <c r="A303" s="20" t="s">
        <v>865</v>
      </c>
      <c r="B303" s="32" t="s">
        <v>866</v>
      </c>
      <c r="C303" s="2" t="s">
        <v>867</v>
      </c>
      <c r="D303" s="3"/>
      <c r="E303" s="4"/>
    </row>
    <row r="304" spans="1:5" ht="13.5" customHeight="1">
      <c r="A304" s="20" t="s">
        <v>868</v>
      </c>
      <c r="B304" s="32" t="s">
        <v>869</v>
      </c>
      <c r="C304" s="2" t="s">
        <v>870</v>
      </c>
      <c r="D304" s="3"/>
      <c r="E304" s="4"/>
    </row>
    <row r="305" spans="1:5" ht="13.5" customHeight="1">
      <c r="A305" s="20" t="s">
        <v>871</v>
      </c>
      <c r="B305" s="32" t="s">
        <v>872</v>
      </c>
      <c r="C305" s="2" t="s">
        <v>873</v>
      </c>
      <c r="D305" s="3"/>
      <c r="E305" s="4"/>
    </row>
    <row r="306" spans="1:5" ht="13.5" customHeight="1">
      <c r="A306" s="20" t="s">
        <v>874</v>
      </c>
      <c r="B306" s="32" t="s">
        <v>875</v>
      </c>
      <c r="C306" s="2" t="s">
        <v>876</v>
      </c>
      <c r="D306" s="3"/>
      <c r="E306" s="4"/>
    </row>
    <row r="307" spans="1:5" ht="13.5" customHeight="1">
      <c r="A307" s="20" t="s">
        <v>877</v>
      </c>
      <c r="B307" s="32" t="s">
        <v>878</v>
      </c>
      <c r="C307" s="2" t="s">
        <v>879</v>
      </c>
      <c r="D307" s="3"/>
      <c r="E307" s="4"/>
    </row>
    <row r="308" spans="1:5" ht="13.5" customHeight="1">
      <c r="A308" s="20" t="s">
        <v>880</v>
      </c>
      <c r="B308" s="32" t="s">
        <v>881</v>
      </c>
      <c r="C308" s="2" t="s">
        <v>882</v>
      </c>
      <c r="D308" s="3"/>
      <c r="E308" s="4"/>
    </row>
    <row r="309" spans="1:5" ht="13.5" customHeight="1">
      <c r="A309" s="20" t="s">
        <v>883</v>
      </c>
      <c r="B309" s="32" t="s">
        <v>884</v>
      </c>
      <c r="C309" s="2" t="s">
        <v>885</v>
      </c>
      <c r="D309" s="3"/>
      <c r="E309" s="4"/>
    </row>
    <row r="310" spans="1:5" ht="13.5" customHeight="1">
      <c r="A310" s="20" t="s">
        <v>886</v>
      </c>
      <c r="B310" s="32" t="s">
        <v>887</v>
      </c>
      <c r="C310" s="2" t="s">
        <v>888</v>
      </c>
      <c r="D310" s="3"/>
      <c r="E310" s="4"/>
    </row>
    <row r="311" spans="1:5" ht="13.5" customHeight="1">
      <c r="A311" s="20" t="s">
        <v>889</v>
      </c>
      <c r="B311" s="32" t="s">
        <v>890</v>
      </c>
      <c r="C311" s="2" t="s">
        <v>891</v>
      </c>
      <c r="D311" s="3"/>
      <c r="E311" s="4"/>
    </row>
    <row r="312" spans="1:5" ht="13.5" customHeight="1">
      <c r="A312" s="20" t="s">
        <v>892</v>
      </c>
      <c r="B312" s="32" t="s">
        <v>893</v>
      </c>
      <c r="C312" s="2" t="s">
        <v>894</v>
      </c>
      <c r="D312" s="3"/>
      <c r="E312" s="4"/>
    </row>
    <row r="313" spans="1:5" ht="13.5" customHeight="1">
      <c r="A313" s="20" t="s">
        <v>895</v>
      </c>
      <c r="B313" s="32" t="s">
        <v>896</v>
      </c>
      <c r="C313" s="2" t="s">
        <v>897</v>
      </c>
      <c r="D313" s="3"/>
      <c r="E313" s="4"/>
    </row>
    <row r="314" spans="1:5" ht="13.5" customHeight="1">
      <c r="A314" s="20" t="s">
        <v>898</v>
      </c>
      <c r="B314" s="32" t="s">
        <v>899</v>
      </c>
      <c r="C314" s="2" t="s">
        <v>900</v>
      </c>
      <c r="D314" s="3"/>
      <c r="E314" s="4"/>
    </row>
    <row r="315" spans="1:5" ht="13.5" customHeight="1">
      <c r="A315" s="20" t="s">
        <v>901</v>
      </c>
      <c r="B315" s="32" t="s">
        <v>902</v>
      </c>
      <c r="C315" s="2" t="s">
        <v>903</v>
      </c>
      <c r="D315" s="3"/>
      <c r="E315" s="4"/>
    </row>
    <row r="316" spans="1:5" ht="13.5" customHeight="1">
      <c r="A316" s="20" t="s">
        <v>904</v>
      </c>
      <c r="B316" s="32" t="s">
        <v>905</v>
      </c>
      <c r="C316" s="2" t="s">
        <v>906</v>
      </c>
      <c r="D316" s="3"/>
      <c r="E316" s="4"/>
    </row>
    <row r="317" spans="1:5" ht="13.5" customHeight="1">
      <c r="A317" s="20" t="s">
        <v>907</v>
      </c>
      <c r="B317" s="32" t="s">
        <v>908</v>
      </c>
      <c r="C317" s="2" t="s">
        <v>909</v>
      </c>
      <c r="D317" s="3">
        <v>1.78</v>
      </c>
      <c r="E317" s="4"/>
    </row>
    <row r="318" spans="1:5" ht="13.5" customHeight="1">
      <c r="A318" s="20" t="s">
        <v>910</v>
      </c>
      <c r="B318" s="32" t="s">
        <v>911</v>
      </c>
      <c r="C318" s="2" t="s">
        <v>912</v>
      </c>
      <c r="D318" s="3"/>
      <c r="E318" s="4"/>
    </row>
    <row r="319" spans="1:5" ht="13.5" customHeight="1">
      <c r="A319" s="20" t="s">
        <v>913</v>
      </c>
      <c r="B319" s="32" t="s">
        <v>914</v>
      </c>
      <c r="C319" s="2" t="s">
        <v>915</v>
      </c>
      <c r="D319" s="3"/>
      <c r="E319" s="4"/>
    </row>
    <row r="320" spans="1:5" ht="13.5" customHeight="1">
      <c r="A320" s="20" t="s">
        <v>916</v>
      </c>
      <c r="B320" s="32" t="s">
        <v>917</v>
      </c>
      <c r="C320" s="2" t="s">
        <v>918</v>
      </c>
      <c r="D320" s="3"/>
      <c r="E320" s="4"/>
    </row>
    <row r="321" spans="1:5" ht="13.5" customHeight="1">
      <c r="A321" s="20" t="s">
        <v>919</v>
      </c>
      <c r="B321" s="32" t="s">
        <v>920</v>
      </c>
      <c r="C321" s="2" t="s">
        <v>921</v>
      </c>
      <c r="D321" s="3">
        <v>1.72</v>
      </c>
      <c r="E321" s="4"/>
    </row>
    <row r="322" spans="1:5" ht="13.5" customHeight="1">
      <c r="A322" s="20" t="s">
        <v>922</v>
      </c>
      <c r="B322" s="32" t="s">
        <v>923</v>
      </c>
      <c r="C322" s="2" t="s">
        <v>924</v>
      </c>
      <c r="D322" s="3"/>
      <c r="E322" s="4"/>
    </row>
    <row r="323" spans="1:5" ht="13.5" customHeight="1">
      <c r="A323" s="20" t="s">
        <v>925</v>
      </c>
      <c r="B323" s="32" t="s">
        <v>926</v>
      </c>
      <c r="C323" s="2" t="s">
        <v>927</v>
      </c>
      <c r="D323" s="3"/>
      <c r="E323" s="4"/>
    </row>
    <row r="324" spans="1:5" ht="13.5" customHeight="1">
      <c r="A324" s="20" t="s">
        <v>928</v>
      </c>
      <c r="B324" s="32" t="s">
        <v>929</v>
      </c>
      <c r="C324" s="2" t="s">
        <v>930</v>
      </c>
      <c r="D324" s="3"/>
      <c r="E324" s="4"/>
    </row>
    <row r="325" spans="1:5" ht="13.5" customHeight="1">
      <c r="A325" s="20" t="s">
        <v>931</v>
      </c>
      <c r="B325" s="32" t="s">
        <v>932</v>
      </c>
      <c r="C325" s="2" t="s">
        <v>933</v>
      </c>
      <c r="D325" s="3">
        <v>0.1</v>
      </c>
      <c r="E325" s="4"/>
    </row>
    <row r="326" spans="1:5" ht="13.5" customHeight="1">
      <c r="A326" s="20" t="s">
        <v>934</v>
      </c>
      <c r="B326" s="32" t="s">
        <v>935</v>
      </c>
      <c r="C326" s="2" t="s">
        <v>936</v>
      </c>
      <c r="D326" s="3"/>
      <c r="E326" s="4"/>
    </row>
    <row r="327" spans="1:5" ht="13.5" customHeight="1">
      <c r="A327" s="13" t="s">
        <v>937</v>
      </c>
      <c r="B327" s="32" t="s">
        <v>938</v>
      </c>
      <c r="C327" s="2">
        <v>331713</v>
      </c>
      <c r="D327" s="3">
        <v>0.11</v>
      </c>
      <c r="E327" s="4"/>
    </row>
    <row r="328" spans="1:5" ht="13.5" customHeight="1">
      <c r="A328" s="27" t="s">
        <v>939</v>
      </c>
      <c r="B328" s="31" t="s">
        <v>940</v>
      </c>
      <c r="C328" s="4">
        <v>331731</v>
      </c>
      <c r="D328" s="11">
        <v>1.2</v>
      </c>
      <c r="E328" s="4"/>
    </row>
    <row r="329" spans="1:5" ht="12.75" customHeight="1">
      <c r="A329" s="22" t="s">
        <v>941</v>
      </c>
      <c r="B329" s="31" t="s">
        <v>942</v>
      </c>
      <c r="C329" s="4">
        <v>331732</v>
      </c>
      <c r="D329" s="11">
        <v>1.2</v>
      </c>
      <c r="E329" s="4"/>
    </row>
    <row r="330" spans="1:5" ht="13.5" customHeight="1">
      <c r="A330" s="22" t="s">
        <v>943</v>
      </c>
      <c r="B330" s="31" t="s">
        <v>944</v>
      </c>
      <c r="C330" s="4">
        <v>331735</v>
      </c>
      <c r="D330" s="11">
        <v>1.2</v>
      </c>
      <c r="E330" s="4"/>
    </row>
    <row r="331" spans="1:5" ht="13.5" customHeight="1">
      <c r="A331" s="22" t="s">
        <v>945</v>
      </c>
      <c r="B331" s="31" t="s">
        <v>946</v>
      </c>
      <c r="C331" s="4">
        <v>331738</v>
      </c>
      <c r="D331" s="11">
        <v>1.4</v>
      </c>
      <c r="E331" s="4"/>
    </row>
    <row r="332" spans="1:5" ht="13.5" customHeight="1">
      <c r="A332" s="22" t="s">
        <v>941</v>
      </c>
      <c r="B332" s="31" t="s">
        <v>947</v>
      </c>
      <c r="C332" s="4">
        <v>331739</v>
      </c>
      <c r="D332" s="11">
        <v>1.4</v>
      </c>
      <c r="E332" s="4"/>
    </row>
    <row r="333" spans="1:5" ht="13.5" customHeight="1">
      <c r="A333" s="22" t="s">
        <v>948</v>
      </c>
      <c r="B333" s="31" t="s">
        <v>949</v>
      </c>
      <c r="C333" s="4">
        <v>331741</v>
      </c>
      <c r="D333" s="11">
        <v>1</v>
      </c>
      <c r="E333" s="4"/>
    </row>
    <row r="334" spans="1:5" ht="13.5" customHeight="1">
      <c r="A334" s="22" t="s">
        <v>950</v>
      </c>
      <c r="B334" s="31" t="s">
        <v>951</v>
      </c>
      <c r="C334" s="4">
        <v>331945</v>
      </c>
      <c r="D334" s="11">
        <v>0.05</v>
      </c>
      <c r="E334" s="4"/>
    </row>
    <row r="335" spans="1:5" ht="13.5" customHeight="1">
      <c r="A335" s="20" t="s">
        <v>952</v>
      </c>
      <c r="B335" s="32" t="s">
        <v>953</v>
      </c>
      <c r="C335" s="2" t="s">
        <v>954</v>
      </c>
      <c r="D335" s="3">
        <v>0.02</v>
      </c>
      <c r="E335" s="2" t="s">
        <v>15</v>
      </c>
    </row>
    <row r="336" spans="1:5" ht="13.5" customHeight="1">
      <c r="A336" s="20" t="s">
        <v>955</v>
      </c>
      <c r="B336" s="32" t="s">
        <v>956</v>
      </c>
      <c r="C336" s="2" t="s">
        <v>957</v>
      </c>
      <c r="D336" s="3">
        <v>0.04</v>
      </c>
      <c r="E336" s="2" t="s">
        <v>15</v>
      </c>
    </row>
    <row r="337" spans="1:5" ht="13.5" customHeight="1">
      <c r="A337" s="20" t="s">
        <v>958</v>
      </c>
      <c r="B337" s="32" t="s">
        <v>959</v>
      </c>
      <c r="C337" s="2" t="s">
        <v>960</v>
      </c>
      <c r="D337" s="3">
        <v>0.05</v>
      </c>
      <c r="E337" s="2" t="s">
        <v>15</v>
      </c>
    </row>
    <row r="338" spans="1:5" ht="13.5" customHeight="1">
      <c r="A338" s="20" t="s">
        <v>961</v>
      </c>
      <c r="B338" s="32" t="s">
        <v>962</v>
      </c>
      <c r="C338" s="2" t="s">
        <v>963</v>
      </c>
      <c r="D338" s="6">
        <v>3.7000000000000002E-3</v>
      </c>
      <c r="E338" s="2" t="s">
        <v>63</v>
      </c>
    </row>
    <row r="339" spans="1:5" ht="13.5" customHeight="1">
      <c r="A339" s="20" t="s">
        <v>964</v>
      </c>
      <c r="B339" s="32" t="s">
        <v>965</v>
      </c>
      <c r="C339" s="2" t="s">
        <v>966</v>
      </c>
      <c r="D339" s="3"/>
      <c r="E339" s="4"/>
    </row>
    <row r="340" spans="1:5" ht="13.5" customHeight="1">
      <c r="A340" s="20" t="s">
        <v>967</v>
      </c>
      <c r="B340" s="32" t="s">
        <v>968</v>
      </c>
      <c r="C340" s="2" t="s">
        <v>969</v>
      </c>
      <c r="D340" s="3"/>
      <c r="E340" s="4"/>
    </row>
    <row r="341" spans="1:5" ht="13.5" customHeight="1">
      <c r="A341" s="20" t="s">
        <v>970</v>
      </c>
      <c r="B341" s="32" t="s">
        <v>971</v>
      </c>
      <c r="C341" s="2" t="s">
        <v>972</v>
      </c>
      <c r="D341" s="3"/>
      <c r="E341" s="4"/>
    </row>
    <row r="342" spans="1:5" ht="13.5" customHeight="1">
      <c r="A342" s="20" t="s">
        <v>973</v>
      </c>
      <c r="B342" s="32" t="s">
        <v>974</v>
      </c>
      <c r="C342" s="2" t="s">
        <v>975</v>
      </c>
      <c r="D342" s="3"/>
      <c r="E342" s="4"/>
    </row>
    <row r="343" spans="1:5" ht="13.5" customHeight="1">
      <c r="A343" s="20" t="s">
        <v>976</v>
      </c>
      <c r="B343" s="32" t="s">
        <v>977</v>
      </c>
      <c r="C343" s="2" t="s">
        <v>978</v>
      </c>
      <c r="D343" s="3"/>
      <c r="E343" s="4"/>
    </row>
    <row r="344" spans="1:5" ht="13.5" customHeight="1">
      <c r="A344" s="20" t="s">
        <v>979</v>
      </c>
      <c r="B344" s="32" t="s">
        <v>980</v>
      </c>
      <c r="C344" s="2" t="s">
        <v>981</v>
      </c>
      <c r="D344" s="3"/>
      <c r="E344" s="4"/>
    </row>
    <row r="345" spans="1:5" ht="13.5" customHeight="1">
      <c r="A345" s="20" t="s">
        <v>982</v>
      </c>
      <c r="B345" s="32" t="s">
        <v>983</v>
      </c>
      <c r="C345" s="2" t="s">
        <v>984</v>
      </c>
      <c r="D345" s="3"/>
      <c r="E345" s="4"/>
    </row>
    <row r="346" spans="1:5" ht="13.5" customHeight="1">
      <c r="A346" s="20" t="s">
        <v>985</v>
      </c>
      <c r="B346" s="32" t="s">
        <v>986</v>
      </c>
      <c r="C346" s="2" t="s">
        <v>987</v>
      </c>
      <c r="D346" s="3"/>
      <c r="E346" s="4"/>
    </row>
    <row r="347" spans="1:5" ht="13.5" customHeight="1">
      <c r="A347" s="20" t="s">
        <v>988</v>
      </c>
      <c r="B347" s="32" t="s">
        <v>989</v>
      </c>
      <c r="C347" s="2" t="s">
        <v>990</v>
      </c>
      <c r="D347" s="3"/>
      <c r="E347" s="4"/>
    </row>
    <row r="348" spans="1:5" ht="13.5" customHeight="1">
      <c r="A348" s="20" t="s">
        <v>991</v>
      </c>
      <c r="B348" s="32" t="s">
        <v>992</v>
      </c>
      <c r="C348" s="2" t="s">
        <v>993</v>
      </c>
      <c r="D348" s="3"/>
      <c r="E348" s="4"/>
    </row>
    <row r="349" spans="1:5" ht="13.5" customHeight="1">
      <c r="A349" s="20" t="s">
        <v>994</v>
      </c>
      <c r="B349" s="32" t="s">
        <v>995</v>
      </c>
      <c r="C349" s="2" t="s">
        <v>996</v>
      </c>
      <c r="D349" s="3"/>
      <c r="E349" s="4"/>
    </row>
    <row r="350" spans="1:5" ht="13.5" customHeight="1">
      <c r="A350" s="20" t="s">
        <v>997</v>
      </c>
      <c r="B350" s="32" t="s">
        <v>998</v>
      </c>
      <c r="C350" s="2" t="s">
        <v>999</v>
      </c>
      <c r="D350" s="3"/>
      <c r="E350" s="4"/>
    </row>
    <row r="351" spans="1:5" ht="13.5" customHeight="1">
      <c r="A351" s="20" t="s">
        <v>1000</v>
      </c>
      <c r="B351" s="32" t="s">
        <v>1001</v>
      </c>
      <c r="C351" s="2" t="s">
        <v>1002</v>
      </c>
      <c r="D351" s="3"/>
      <c r="E351" s="4"/>
    </row>
    <row r="352" spans="1:5" ht="13.5" customHeight="1">
      <c r="A352" s="20" t="s">
        <v>1003</v>
      </c>
      <c r="B352" s="32" t="s">
        <v>1004</v>
      </c>
      <c r="C352" s="2" t="s">
        <v>1005</v>
      </c>
      <c r="D352" s="3">
        <v>0.85</v>
      </c>
      <c r="E352" s="2" t="s">
        <v>15</v>
      </c>
    </row>
    <row r="353" spans="1:10" ht="13.5" customHeight="1">
      <c r="A353" s="20" t="s">
        <v>1006</v>
      </c>
      <c r="B353" s="32" t="s">
        <v>1007</v>
      </c>
      <c r="C353" s="2" t="s">
        <v>1008</v>
      </c>
      <c r="D353" s="3">
        <v>0.96</v>
      </c>
      <c r="E353" s="2" t="s">
        <v>15</v>
      </c>
    </row>
    <row r="354" spans="1:10" ht="13.5" customHeight="1">
      <c r="A354" s="20" t="s">
        <v>1009</v>
      </c>
      <c r="B354" s="32" t="s">
        <v>1010</v>
      </c>
      <c r="C354" s="2" t="s">
        <v>1011</v>
      </c>
      <c r="D354" s="3">
        <v>2.5</v>
      </c>
      <c r="E354" s="2" t="s">
        <v>15</v>
      </c>
    </row>
    <row r="355" spans="1:10" ht="13.5" customHeight="1">
      <c r="A355" s="20" t="s">
        <v>1012</v>
      </c>
      <c r="B355" s="32" t="s">
        <v>1013</v>
      </c>
      <c r="C355" s="2" t="s">
        <v>1014</v>
      </c>
      <c r="D355" s="3"/>
      <c r="E355" s="4"/>
    </row>
    <row r="356" spans="1:10" ht="13.5" customHeight="1">
      <c r="A356" s="20" t="s">
        <v>1015</v>
      </c>
      <c r="B356" s="32" t="s">
        <v>1016</v>
      </c>
      <c r="C356" s="2" t="s">
        <v>1017</v>
      </c>
      <c r="D356" s="3"/>
      <c r="E356" s="4"/>
      <c r="J356" s="1">
        <f>25*0.49</f>
        <v>12.25</v>
      </c>
    </row>
    <row r="357" spans="1:10" ht="13.5" customHeight="1">
      <c r="A357" s="20" t="s">
        <v>1018</v>
      </c>
      <c r="B357" s="32" t="s">
        <v>1019</v>
      </c>
      <c r="C357" s="2" t="s">
        <v>1020</v>
      </c>
      <c r="D357" s="3">
        <v>0.41</v>
      </c>
      <c r="E357" s="2" t="s">
        <v>15</v>
      </c>
    </row>
    <row r="358" spans="1:10" ht="13.5" customHeight="1">
      <c r="A358" s="20" t="s">
        <v>1021</v>
      </c>
      <c r="B358" s="32" t="s">
        <v>1022</v>
      </c>
      <c r="C358" s="2" t="s">
        <v>1023</v>
      </c>
      <c r="D358" s="3">
        <v>0.43</v>
      </c>
      <c r="E358" s="2" t="s">
        <v>15</v>
      </c>
    </row>
    <row r="359" spans="1:10" ht="13.5" customHeight="1">
      <c r="A359" s="20" t="s">
        <v>1024</v>
      </c>
      <c r="B359" s="32" t="s">
        <v>1025</v>
      </c>
      <c r="C359" s="2" t="s">
        <v>1026</v>
      </c>
      <c r="D359" s="3"/>
      <c r="E359" s="4"/>
    </row>
    <row r="360" spans="1:10" ht="13.5" customHeight="1">
      <c r="A360" s="20" t="s">
        <v>1027</v>
      </c>
      <c r="B360" s="32" t="s">
        <v>1028</v>
      </c>
      <c r="C360" s="2" t="s">
        <v>1029</v>
      </c>
      <c r="D360" s="3">
        <v>0.43</v>
      </c>
      <c r="E360" s="2" t="s">
        <v>15</v>
      </c>
    </row>
    <row r="361" spans="1:10" ht="13.5" customHeight="1">
      <c r="A361" s="20" t="s">
        <v>1030</v>
      </c>
      <c r="B361" s="32" t="s">
        <v>1031</v>
      </c>
      <c r="C361" s="2" t="s">
        <v>1032</v>
      </c>
      <c r="D361" s="3">
        <v>0.46</v>
      </c>
      <c r="E361" s="2" t="s">
        <v>15</v>
      </c>
    </row>
    <row r="362" spans="1:10" ht="13.5" customHeight="1">
      <c r="A362" s="20" t="s">
        <v>1033</v>
      </c>
      <c r="B362" s="32" t="s">
        <v>1034</v>
      </c>
      <c r="C362" s="2" t="s">
        <v>1035</v>
      </c>
      <c r="D362" s="3">
        <v>0.86</v>
      </c>
      <c r="E362" s="2" t="s">
        <v>15</v>
      </c>
    </row>
    <row r="363" spans="1:10" ht="13.5" customHeight="1">
      <c r="A363" s="20" t="s">
        <v>1036</v>
      </c>
      <c r="B363" s="32" t="s">
        <v>1037</v>
      </c>
      <c r="C363" s="2" t="s">
        <v>1038</v>
      </c>
      <c r="D363" s="3">
        <v>0.46</v>
      </c>
      <c r="E363" s="2" t="s">
        <v>15</v>
      </c>
    </row>
    <row r="364" spans="1:10" ht="13.5" customHeight="1">
      <c r="A364" s="20" t="s">
        <v>1039</v>
      </c>
      <c r="B364" s="32" t="s">
        <v>1040</v>
      </c>
      <c r="C364" s="2" t="s">
        <v>1041</v>
      </c>
      <c r="D364" s="3">
        <v>0.49</v>
      </c>
      <c r="E364" s="2" t="s">
        <v>15</v>
      </c>
    </row>
    <row r="365" spans="1:10" ht="13.5" customHeight="1">
      <c r="A365" s="20" t="s">
        <v>1042</v>
      </c>
      <c r="B365" s="32" t="s">
        <v>1043</v>
      </c>
      <c r="C365" s="2" t="s">
        <v>1044</v>
      </c>
      <c r="D365" s="3"/>
      <c r="E365" s="4"/>
    </row>
    <row r="366" spans="1:10" ht="13.5" customHeight="1">
      <c r="A366" s="20" t="s">
        <v>1045</v>
      </c>
      <c r="B366" s="32" t="s">
        <v>1046</v>
      </c>
      <c r="C366" s="2" t="s">
        <v>1047</v>
      </c>
      <c r="D366" s="3"/>
      <c r="E366" s="4"/>
    </row>
    <row r="367" spans="1:10" ht="13.5" customHeight="1">
      <c r="A367" s="20" t="s">
        <v>1048</v>
      </c>
      <c r="B367" s="32" t="s">
        <v>1049</v>
      </c>
      <c r="C367" s="2" t="s">
        <v>1050</v>
      </c>
      <c r="D367" s="3">
        <v>0.55000000000000004</v>
      </c>
      <c r="E367" s="2" t="s">
        <v>15</v>
      </c>
    </row>
    <row r="368" spans="1:10" ht="13.5" customHeight="1">
      <c r="A368" s="20" t="s">
        <v>1051</v>
      </c>
      <c r="B368" s="32" t="s">
        <v>1052</v>
      </c>
      <c r="C368" s="2" t="s">
        <v>1053</v>
      </c>
      <c r="D368" s="3"/>
      <c r="E368" s="4"/>
    </row>
    <row r="369" spans="1:5" ht="13.5" customHeight="1">
      <c r="A369" s="20" t="s">
        <v>1054</v>
      </c>
      <c r="B369" s="32" t="s">
        <v>1055</v>
      </c>
      <c r="C369" s="2" t="s">
        <v>1056</v>
      </c>
      <c r="D369" s="3">
        <v>0.52</v>
      </c>
      <c r="E369" s="2" t="s">
        <v>15</v>
      </c>
    </row>
    <row r="370" spans="1:5" ht="13.5" customHeight="1">
      <c r="A370" s="20" t="s">
        <v>1057</v>
      </c>
      <c r="B370" s="32" t="s">
        <v>1058</v>
      </c>
      <c r="C370" s="2" t="s">
        <v>1059</v>
      </c>
      <c r="D370" s="3">
        <v>0.8</v>
      </c>
      <c r="E370" s="2" t="s">
        <v>15</v>
      </c>
    </row>
    <row r="371" spans="1:5" ht="13.5" customHeight="1">
      <c r="A371" s="20" t="s">
        <v>1060</v>
      </c>
      <c r="B371" s="32" t="s">
        <v>1061</v>
      </c>
      <c r="C371" s="2" t="s">
        <v>1062</v>
      </c>
      <c r="D371" s="3">
        <v>0.8</v>
      </c>
      <c r="E371" s="2" t="s">
        <v>15</v>
      </c>
    </row>
    <row r="372" spans="1:5" ht="13.5" customHeight="1">
      <c r="A372" s="20" t="s">
        <v>1063</v>
      </c>
      <c r="B372" s="32" t="s">
        <v>1064</v>
      </c>
      <c r="C372" s="2" t="s">
        <v>1065</v>
      </c>
      <c r="D372" s="3">
        <v>0.5</v>
      </c>
      <c r="E372" s="4"/>
    </row>
    <row r="373" spans="1:5" ht="13.5" customHeight="1">
      <c r="A373" s="20" t="s">
        <v>1066</v>
      </c>
      <c r="B373" s="32" t="s">
        <v>1067</v>
      </c>
      <c r="C373" s="2" t="s">
        <v>1068</v>
      </c>
      <c r="D373" s="3">
        <v>0.79</v>
      </c>
      <c r="E373" s="4"/>
    </row>
    <row r="374" spans="1:5" ht="13.5" customHeight="1">
      <c r="A374" s="22" t="s">
        <v>1069</v>
      </c>
      <c r="B374" s="31" t="s">
        <v>1070</v>
      </c>
      <c r="C374" s="4">
        <v>332490</v>
      </c>
      <c r="D374" s="11">
        <v>0.86799999999999999</v>
      </c>
      <c r="E374" s="4"/>
    </row>
    <row r="375" spans="1:5" ht="13.5" customHeight="1">
      <c r="A375" s="22" t="s">
        <v>1071</v>
      </c>
      <c r="B375" s="31" t="s">
        <v>1072</v>
      </c>
      <c r="C375" s="4">
        <v>332492</v>
      </c>
      <c r="D375" s="11">
        <v>0.9</v>
      </c>
      <c r="E375" s="4"/>
    </row>
    <row r="376" spans="1:5" ht="13.5" customHeight="1">
      <c r="A376" s="20" t="s">
        <v>1073</v>
      </c>
      <c r="B376" s="32" t="s">
        <v>1074</v>
      </c>
      <c r="C376" s="2" t="s">
        <v>1075</v>
      </c>
      <c r="D376" s="3"/>
      <c r="E376" s="4"/>
    </row>
    <row r="377" spans="1:5" ht="13.5" customHeight="1">
      <c r="A377" s="20" t="s">
        <v>1076</v>
      </c>
      <c r="B377" s="32" t="s">
        <v>1077</v>
      </c>
      <c r="C377" s="2" t="s">
        <v>1078</v>
      </c>
      <c r="D377" s="3"/>
      <c r="E377" s="4"/>
    </row>
    <row r="378" spans="1:5" ht="13.5" customHeight="1">
      <c r="A378" s="20" t="s">
        <v>1079</v>
      </c>
      <c r="B378" s="32" t="s">
        <v>1080</v>
      </c>
      <c r="C378" s="2" t="s">
        <v>1081</v>
      </c>
      <c r="D378" s="3"/>
      <c r="E378" s="4"/>
    </row>
    <row r="379" spans="1:5" ht="13.5" customHeight="1">
      <c r="A379" s="20" t="s">
        <v>1082</v>
      </c>
      <c r="B379" s="32" t="s">
        <v>1083</v>
      </c>
      <c r="C379" s="2" t="s">
        <v>1084</v>
      </c>
      <c r="D379" s="3"/>
      <c r="E379" s="4"/>
    </row>
    <row r="380" spans="1:5" ht="13.5" customHeight="1">
      <c r="A380" s="20" t="s">
        <v>1085</v>
      </c>
      <c r="B380" s="32" t="s">
        <v>1086</v>
      </c>
      <c r="C380" s="2" t="s">
        <v>1087</v>
      </c>
      <c r="D380" s="3"/>
      <c r="E380" s="4"/>
    </row>
    <row r="381" spans="1:5" ht="13.5" customHeight="1">
      <c r="A381" s="20" t="s">
        <v>1088</v>
      </c>
      <c r="B381" s="32" t="s">
        <v>1089</v>
      </c>
      <c r="C381" s="2" t="s">
        <v>1090</v>
      </c>
      <c r="D381" s="3"/>
      <c r="E381" s="4"/>
    </row>
    <row r="382" spans="1:5" ht="13.5" customHeight="1">
      <c r="A382" s="22" t="s">
        <v>1091</v>
      </c>
      <c r="B382" s="31" t="s">
        <v>1092</v>
      </c>
      <c r="C382" s="4">
        <v>333003</v>
      </c>
      <c r="D382" s="11">
        <v>1.7</v>
      </c>
      <c r="E382" s="4"/>
    </row>
    <row r="383" spans="1:5" ht="13.5" customHeight="1">
      <c r="A383" s="22" t="s">
        <v>1093</v>
      </c>
      <c r="B383" s="31" t="s">
        <v>1094</v>
      </c>
      <c r="C383" s="4">
        <v>333005</v>
      </c>
      <c r="D383" s="11">
        <v>1.9430000000000001</v>
      </c>
      <c r="E383" s="4"/>
    </row>
    <row r="384" spans="1:5" ht="13.5" customHeight="1">
      <c r="A384" s="25" t="s">
        <v>1093</v>
      </c>
      <c r="B384" s="31" t="s">
        <v>1095</v>
      </c>
      <c r="C384" s="4">
        <v>333007</v>
      </c>
      <c r="D384" s="11">
        <v>0.65</v>
      </c>
      <c r="E384" s="4"/>
    </row>
    <row r="385" spans="1:5" ht="13.5" customHeight="1">
      <c r="A385" s="22" t="s">
        <v>1091</v>
      </c>
      <c r="B385" s="31" t="s">
        <v>1096</v>
      </c>
      <c r="C385" s="4">
        <v>333010</v>
      </c>
      <c r="D385" s="11">
        <v>1.75</v>
      </c>
      <c r="E385" s="4"/>
    </row>
    <row r="386" spans="1:5" ht="13.5" customHeight="1">
      <c r="A386" s="22" t="s">
        <v>1091</v>
      </c>
      <c r="B386" s="31" t="s">
        <v>1097</v>
      </c>
      <c r="C386" s="4">
        <v>333011</v>
      </c>
      <c r="D386" s="11">
        <v>1.8</v>
      </c>
      <c r="E386" s="4"/>
    </row>
    <row r="387" spans="1:5" ht="13.5" customHeight="1">
      <c r="A387" s="22" t="s">
        <v>1093</v>
      </c>
      <c r="B387" s="31" t="s">
        <v>1098</v>
      </c>
      <c r="C387" s="4">
        <v>333021</v>
      </c>
      <c r="D387" s="11">
        <v>0.99</v>
      </c>
      <c r="E387" s="4"/>
    </row>
    <row r="388" spans="1:5" ht="13.5" customHeight="1">
      <c r="A388" s="20" t="s">
        <v>1099</v>
      </c>
      <c r="B388" s="32" t="s">
        <v>1100</v>
      </c>
      <c r="C388" s="2" t="s">
        <v>1101</v>
      </c>
      <c r="D388" s="3"/>
      <c r="E388" s="4"/>
    </row>
    <row r="389" spans="1:5" ht="13.5" customHeight="1">
      <c r="A389" s="20" t="s">
        <v>1102</v>
      </c>
      <c r="B389" s="32" t="s">
        <v>1103</v>
      </c>
      <c r="C389" s="2" t="s">
        <v>1104</v>
      </c>
      <c r="D389" s="3">
        <v>2.1</v>
      </c>
      <c r="E389" s="4" t="s">
        <v>15</v>
      </c>
    </row>
    <row r="390" spans="1:5" ht="13.5" customHeight="1">
      <c r="A390" s="20" t="s">
        <v>1105</v>
      </c>
      <c r="B390" s="32" t="s">
        <v>1106</v>
      </c>
      <c r="C390" s="2" t="s">
        <v>1107</v>
      </c>
      <c r="D390" s="3">
        <v>2.13</v>
      </c>
      <c r="E390" s="4" t="s">
        <v>15</v>
      </c>
    </row>
    <row r="391" spans="1:5" ht="13.5" customHeight="1">
      <c r="A391" s="20" t="s">
        <v>1108</v>
      </c>
      <c r="B391" s="32" t="s">
        <v>1109</v>
      </c>
      <c r="C391" s="2" t="s">
        <v>1110</v>
      </c>
      <c r="D391" s="3"/>
      <c r="E391" s="4"/>
    </row>
    <row r="392" spans="1:5" ht="13.5" customHeight="1">
      <c r="A392" s="20" t="s">
        <v>1111</v>
      </c>
      <c r="B392" s="32" t="s">
        <v>1112</v>
      </c>
      <c r="C392" s="2" t="s">
        <v>1113</v>
      </c>
      <c r="D392" s="3"/>
      <c r="E392" s="4"/>
    </row>
    <row r="393" spans="1:5" ht="13.5" customHeight="1">
      <c r="A393" s="20" t="s">
        <v>1114</v>
      </c>
      <c r="B393" s="32" t="s">
        <v>1115</v>
      </c>
      <c r="C393" s="2" t="s">
        <v>1116</v>
      </c>
      <c r="D393" s="3"/>
      <c r="E393" s="4"/>
    </row>
    <row r="394" spans="1:5" ht="13.5" customHeight="1">
      <c r="A394" s="20" t="s">
        <v>1117</v>
      </c>
      <c r="B394" s="32" t="s">
        <v>1118</v>
      </c>
      <c r="C394" s="2" t="s">
        <v>1119</v>
      </c>
      <c r="D394" s="3"/>
      <c r="E394" s="4"/>
    </row>
    <row r="395" spans="1:5" ht="13.5" customHeight="1">
      <c r="A395" s="20" t="s">
        <v>1120</v>
      </c>
      <c r="B395" s="32" t="s">
        <v>1121</v>
      </c>
      <c r="C395" s="2" t="s">
        <v>1122</v>
      </c>
      <c r="D395" s="3"/>
      <c r="E395" s="4"/>
    </row>
    <row r="396" spans="1:5" ht="13.5" customHeight="1">
      <c r="A396" s="20" t="s">
        <v>1123</v>
      </c>
      <c r="B396" s="32" t="s">
        <v>1124</v>
      </c>
      <c r="C396" s="2" t="s">
        <v>1125</v>
      </c>
      <c r="D396" s="3"/>
      <c r="E396" s="4"/>
    </row>
    <row r="397" spans="1:5" ht="13.5" customHeight="1">
      <c r="A397" s="20" t="s">
        <v>1126</v>
      </c>
      <c r="B397" s="32" t="s">
        <v>1127</v>
      </c>
      <c r="C397" s="2" t="s">
        <v>1128</v>
      </c>
      <c r="D397" s="3"/>
      <c r="E397" s="4"/>
    </row>
    <row r="398" spans="1:5" ht="13.5" customHeight="1">
      <c r="A398" s="20" t="s">
        <v>1129</v>
      </c>
      <c r="B398" s="32" t="s">
        <v>1130</v>
      </c>
      <c r="C398" s="2" t="s">
        <v>1131</v>
      </c>
      <c r="D398" s="3"/>
      <c r="E398" s="4"/>
    </row>
    <row r="399" spans="1:5" ht="13.5" customHeight="1">
      <c r="A399" s="20" t="s">
        <v>1132</v>
      </c>
      <c r="B399" s="32" t="s">
        <v>1133</v>
      </c>
      <c r="C399" s="2" t="s">
        <v>1134</v>
      </c>
      <c r="D399" s="3"/>
      <c r="E399" s="4"/>
    </row>
    <row r="400" spans="1:5" ht="13.5" customHeight="1">
      <c r="A400" s="20" t="s">
        <v>1135</v>
      </c>
      <c r="B400" s="32" t="s">
        <v>1136</v>
      </c>
      <c r="C400" s="2" t="s">
        <v>1137</v>
      </c>
      <c r="D400" s="3"/>
      <c r="E400" s="4"/>
    </row>
    <row r="401" spans="1:5" ht="13.5" customHeight="1">
      <c r="A401" s="20" t="s">
        <v>1138</v>
      </c>
      <c r="B401" s="32" t="s">
        <v>1139</v>
      </c>
      <c r="C401" s="2" t="s">
        <v>1140</v>
      </c>
      <c r="D401" s="3"/>
      <c r="E401" s="4"/>
    </row>
    <row r="402" spans="1:5" ht="13.5" customHeight="1">
      <c r="A402" s="20" t="s">
        <v>1141</v>
      </c>
      <c r="B402" s="32" t="s">
        <v>1142</v>
      </c>
      <c r="C402" s="2" t="s">
        <v>1143</v>
      </c>
      <c r="D402" s="3">
        <v>1.1399999999999999</v>
      </c>
      <c r="E402" s="4" t="s">
        <v>15</v>
      </c>
    </row>
    <row r="403" spans="1:5" ht="13.5" customHeight="1">
      <c r="A403" s="20" t="s">
        <v>1144</v>
      </c>
      <c r="B403" s="32" t="s">
        <v>1145</v>
      </c>
      <c r="C403" s="2" t="s">
        <v>1146</v>
      </c>
      <c r="D403" s="3">
        <v>2.1</v>
      </c>
      <c r="E403" s="4" t="s">
        <v>15</v>
      </c>
    </row>
    <row r="404" spans="1:5" ht="13.5" customHeight="1">
      <c r="A404" s="20" t="s">
        <v>1147</v>
      </c>
      <c r="B404" s="32" t="s">
        <v>1148</v>
      </c>
      <c r="C404" s="2" t="s">
        <v>1149</v>
      </c>
      <c r="D404" s="3">
        <v>2.14</v>
      </c>
      <c r="E404" s="4" t="s">
        <v>15</v>
      </c>
    </row>
    <row r="405" spans="1:5" ht="13.5" customHeight="1">
      <c r="A405" s="20" t="s">
        <v>1150</v>
      </c>
      <c r="B405" s="32" t="s">
        <v>1151</v>
      </c>
      <c r="C405" s="2" t="s">
        <v>1152</v>
      </c>
      <c r="D405" s="3"/>
      <c r="E405" s="4"/>
    </row>
    <row r="406" spans="1:5" ht="13.5" customHeight="1">
      <c r="A406" s="20" t="s">
        <v>1153</v>
      </c>
      <c r="B406" s="32" t="s">
        <v>1154</v>
      </c>
      <c r="C406" s="2" t="s">
        <v>1155</v>
      </c>
      <c r="D406" s="3"/>
      <c r="E406" s="4"/>
    </row>
    <row r="407" spans="1:5" ht="13.5" customHeight="1">
      <c r="A407" s="20" t="s">
        <v>1156</v>
      </c>
      <c r="B407" s="32" t="s">
        <v>1157</v>
      </c>
      <c r="C407" s="2" t="s">
        <v>1158</v>
      </c>
      <c r="D407" s="3"/>
      <c r="E407" s="4"/>
    </row>
    <row r="408" spans="1:5" ht="13.5" customHeight="1">
      <c r="A408" s="20" t="s">
        <v>1159</v>
      </c>
      <c r="B408" s="32" t="s">
        <v>1160</v>
      </c>
      <c r="C408" s="2" t="s">
        <v>1161</v>
      </c>
      <c r="D408" s="3"/>
      <c r="E408" s="4"/>
    </row>
    <row r="409" spans="1:5" ht="13.5" customHeight="1">
      <c r="A409" s="20" t="s">
        <v>1162</v>
      </c>
      <c r="B409" s="32" t="s">
        <v>1163</v>
      </c>
      <c r="C409" s="2" t="s">
        <v>1164</v>
      </c>
      <c r="D409" s="3"/>
      <c r="E409" s="4"/>
    </row>
    <row r="410" spans="1:5" ht="13.5" customHeight="1">
      <c r="A410" s="20" t="s">
        <v>1165</v>
      </c>
      <c r="B410" s="32" t="s">
        <v>1166</v>
      </c>
      <c r="C410" s="2" t="s">
        <v>1167</v>
      </c>
      <c r="D410" s="3">
        <v>1.98</v>
      </c>
      <c r="E410" s="4" t="s">
        <v>15</v>
      </c>
    </row>
    <row r="411" spans="1:5" ht="13.5" customHeight="1">
      <c r="A411" s="20" t="s">
        <v>1168</v>
      </c>
      <c r="B411" s="32" t="s">
        <v>1169</v>
      </c>
      <c r="C411" s="2" t="s">
        <v>1170</v>
      </c>
      <c r="D411" s="3">
        <v>2</v>
      </c>
      <c r="E411" s="4"/>
    </row>
    <row r="412" spans="1:5" ht="13.5" customHeight="1">
      <c r="A412" s="20" t="s">
        <v>1171</v>
      </c>
      <c r="B412" s="32" t="s">
        <v>1172</v>
      </c>
      <c r="C412" s="2" t="s">
        <v>1173</v>
      </c>
      <c r="D412" s="3"/>
      <c r="E412" s="4"/>
    </row>
    <row r="413" spans="1:5" ht="13.5" customHeight="1">
      <c r="A413" s="20" t="s">
        <v>1174</v>
      </c>
      <c r="B413" s="32" t="s">
        <v>1175</v>
      </c>
      <c r="C413" s="2" t="s">
        <v>1176</v>
      </c>
      <c r="D413" s="3"/>
      <c r="E413" s="4"/>
    </row>
    <row r="414" spans="1:5" ht="13.5" customHeight="1">
      <c r="A414" s="20" t="s">
        <v>1177</v>
      </c>
      <c r="B414" s="32" t="s">
        <v>1178</v>
      </c>
      <c r="C414" s="2" t="s">
        <v>1179</v>
      </c>
      <c r="D414" s="3"/>
      <c r="E414" s="4"/>
    </row>
    <row r="415" spans="1:5" ht="13.5" customHeight="1">
      <c r="A415" s="22" t="s">
        <v>1180</v>
      </c>
      <c r="B415" s="31" t="s">
        <v>1181</v>
      </c>
      <c r="C415" s="4">
        <v>333333</v>
      </c>
      <c r="D415" s="11">
        <v>1.76</v>
      </c>
      <c r="E415" s="4"/>
    </row>
    <row r="416" spans="1:5" ht="13.5" customHeight="1">
      <c r="A416" s="20" t="s">
        <v>1182</v>
      </c>
      <c r="B416" s="32" t="s">
        <v>1183</v>
      </c>
      <c r="C416" s="2" t="s">
        <v>1184</v>
      </c>
      <c r="D416" s="3"/>
      <c r="E416" s="4"/>
    </row>
    <row r="417" spans="1:5" ht="13.5" customHeight="1">
      <c r="A417" s="20" t="s">
        <v>1185</v>
      </c>
      <c r="B417" s="32" t="s">
        <v>1186</v>
      </c>
      <c r="C417" s="2" t="s">
        <v>1187</v>
      </c>
      <c r="D417" s="3"/>
      <c r="E417" s="4"/>
    </row>
    <row r="418" spans="1:5" ht="13.5" customHeight="1">
      <c r="A418" s="20" t="s">
        <v>1188</v>
      </c>
      <c r="B418" s="32" t="s">
        <v>1189</v>
      </c>
      <c r="C418" s="2" t="s">
        <v>1190</v>
      </c>
      <c r="D418" s="3">
        <v>0.34</v>
      </c>
      <c r="E418" s="2" t="s">
        <v>15</v>
      </c>
    </row>
    <row r="419" spans="1:5" ht="13.5" customHeight="1">
      <c r="A419" s="20" t="s">
        <v>1191</v>
      </c>
      <c r="B419" s="32" t="s">
        <v>1192</v>
      </c>
      <c r="C419" s="2" t="s">
        <v>1193</v>
      </c>
      <c r="D419" s="3">
        <v>0.32</v>
      </c>
      <c r="E419" s="2" t="s">
        <v>15</v>
      </c>
    </row>
    <row r="420" spans="1:5" ht="13.5" customHeight="1">
      <c r="A420" s="20" t="s">
        <v>1194</v>
      </c>
      <c r="B420" s="32" t="s">
        <v>1195</v>
      </c>
      <c r="C420" s="2" t="s">
        <v>1196</v>
      </c>
      <c r="D420" s="3">
        <v>0.33</v>
      </c>
      <c r="E420" s="2" t="s">
        <v>15</v>
      </c>
    </row>
    <row r="421" spans="1:5" ht="13.5" customHeight="1">
      <c r="A421" s="20" t="s">
        <v>1197</v>
      </c>
      <c r="B421" s="32" t="s">
        <v>1198</v>
      </c>
      <c r="C421" s="2" t="s">
        <v>1199</v>
      </c>
      <c r="D421" s="3">
        <v>0.33</v>
      </c>
      <c r="E421" s="2" t="s">
        <v>15</v>
      </c>
    </row>
    <row r="422" spans="1:5" ht="13.5" customHeight="1">
      <c r="A422" s="20" t="s">
        <v>1200</v>
      </c>
      <c r="B422" s="32" t="s">
        <v>1201</v>
      </c>
      <c r="C422" s="2" t="s">
        <v>1202</v>
      </c>
      <c r="D422" s="3"/>
      <c r="E422" s="4"/>
    </row>
    <row r="423" spans="1:5" ht="13.5" customHeight="1">
      <c r="A423" s="20" t="s">
        <v>1203</v>
      </c>
      <c r="B423" s="32" t="s">
        <v>1204</v>
      </c>
      <c r="C423" s="2" t="s">
        <v>1205</v>
      </c>
      <c r="D423" s="3">
        <v>0.35</v>
      </c>
      <c r="E423" s="2" t="s">
        <v>15</v>
      </c>
    </row>
    <row r="424" spans="1:5" ht="13.5" customHeight="1">
      <c r="A424" s="20" t="s">
        <v>1206</v>
      </c>
      <c r="B424" s="32" t="s">
        <v>1207</v>
      </c>
      <c r="C424" s="2" t="s">
        <v>1208</v>
      </c>
      <c r="D424" s="3">
        <v>0.33</v>
      </c>
      <c r="E424" s="2" t="s">
        <v>15</v>
      </c>
    </row>
    <row r="425" spans="1:5" ht="13.5" customHeight="1">
      <c r="A425" s="20" t="s">
        <v>1209</v>
      </c>
      <c r="B425" s="32" t="s">
        <v>1210</v>
      </c>
      <c r="C425" s="2" t="s">
        <v>1211</v>
      </c>
      <c r="D425" s="3"/>
      <c r="E425" s="4"/>
    </row>
    <row r="426" spans="1:5" ht="13.5" customHeight="1">
      <c r="A426" s="20" t="s">
        <v>1212</v>
      </c>
      <c r="B426" s="32" t="s">
        <v>1213</v>
      </c>
      <c r="C426" s="2" t="s">
        <v>1214</v>
      </c>
      <c r="D426" s="3"/>
      <c r="E426" s="4"/>
    </row>
    <row r="427" spans="1:5" ht="13.5" customHeight="1">
      <c r="A427" s="20" t="s">
        <v>1215</v>
      </c>
      <c r="B427" s="32" t="s">
        <v>1216</v>
      </c>
      <c r="C427" s="2" t="s">
        <v>1217</v>
      </c>
      <c r="D427" s="3">
        <v>0.33</v>
      </c>
      <c r="E427" s="2" t="s">
        <v>15</v>
      </c>
    </row>
    <row r="428" spans="1:5" ht="13.5" customHeight="1">
      <c r="A428" s="20" t="s">
        <v>1218</v>
      </c>
      <c r="B428" s="32" t="s">
        <v>1219</v>
      </c>
      <c r="C428" s="2" t="s">
        <v>1220</v>
      </c>
      <c r="D428" s="3"/>
      <c r="E428" s="4"/>
    </row>
    <row r="429" spans="1:5" ht="13.5" customHeight="1">
      <c r="A429" s="20" t="s">
        <v>1221</v>
      </c>
      <c r="B429" s="32" t="s">
        <v>1222</v>
      </c>
      <c r="C429" s="2" t="s">
        <v>1223</v>
      </c>
      <c r="D429" s="3">
        <v>0.35</v>
      </c>
      <c r="E429" s="2" t="s">
        <v>15</v>
      </c>
    </row>
    <row r="430" spans="1:5" ht="13.5" customHeight="1">
      <c r="A430" s="20" t="s">
        <v>1224</v>
      </c>
      <c r="B430" s="32" t="s">
        <v>1225</v>
      </c>
      <c r="C430" s="2" t="s">
        <v>1226</v>
      </c>
      <c r="D430" s="3">
        <v>0.33</v>
      </c>
      <c r="E430" s="2" t="s">
        <v>15</v>
      </c>
    </row>
    <row r="431" spans="1:5" ht="13.5" customHeight="1">
      <c r="A431" s="20" t="s">
        <v>1227</v>
      </c>
      <c r="B431" s="32" t="s">
        <v>1228</v>
      </c>
      <c r="C431" s="2" t="s">
        <v>1229</v>
      </c>
      <c r="D431" s="3">
        <v>0.34</v>
      </c>
      <c r="E431" s="2" t="s">
        <v>15</v>
      </c>
    </row>
    <row r="432" spans="1:5" ht="13.5" customHeight="1">
      <c r="A432" s="20" t="s">
        <v>1230</v>
      </c>
      <c r="B432" s="32" t="s">
        <v>1231</v>
      </c>
      <c r="C432" s="2" t="s">
        <v>1232</v>
      </c>
      <c r="D432" s="3"/>
      <c r="E432" s="4"/>
    </row>
    <row r="433" spans="1:5" ht="13.5" customHeight="1">
      <c r="A433" s="20" t="s">
        <v>1233</v>
      </c>
      <c r="B433" s="32" t="s">
        <v>1234</v>
      </c>
      <c r="C433" s="2" t="s">
        <v>1235</v>
      </c>
      <c r="D433" s="3"/>
      <c r="E433" s="4"/>
    </row>
    <row r="434" spans="1:5" ht="13.5" customHeight="1">
      <c r="A434" s="20" t="s">
        <v>1236</v>
      </c>
      <c r="B434" s="32" t="s">
        <v>1237</v>
      </c>
      <c r="C434" s="2" t="s">
        <v>1238</v>
      </c>
      <c r="D434" s="3"/>
      <c r="E434" s="4"/>
    </row>
    <row r="435" spans="1:5" ht="13.5" customHeight="1">
      <c r="A435" s="20" t="s">
        <v>1239</v>
      </c>
      <c r="B435" s="32" t="s">
        <v>1240</v>
      </c>
      <c r="C435" s="2" t="s">
        <v>1241</v>
      </c>
      <c r="D435" s="3"/>
      <c r="E435" s="4"/>
    </row>
    <row r="436" spans="1:5" ht="13.5" customHeight="1">
      <c r="A436" s="20" t="s">
        <v>1242</v>
      </c>
      <c r="B436" s="32" t="s">
        <v>1243</v>
      </c>
      <c r="C436" s="2" t="s">
        <v>1244</v>
      </c>
      <c r="D436" s="3">
        <v>0.35</v>
      </c>
      <c r="E436" s="4"/>
    </row>
    <row r="437" spans="1:5" ht="13.5" customHeight="1">
      <c r="A437" s="20" t="s">
        <v>1245</v>
      </c>
      <c r="B437" s="32" t="s">
        <v>1246</v>
      </c>
      <c r="C437" s="2" t="s">
        <v>1247</v>
      </c>
      <c r="D437" s="3"/>
      <c r="E437" s="4"/>
    </row>
    <row r="438" spans="1:5" ht="13.5" customHeight="1">
      <c r="A438" s="20" t="s">
        <v>1248</v>
      </c>
      <c r="B438" s="32" t="s">
        <v>1249</v>
      </c>
      <c r="C438" s="2" t="s">
        <v>1250</v>
      </c>
      <c r="D438" s="3"/>
      <c r="E438" s="4"/>
    </row>
    <row r="439" spans="1:5" ht="13.5" customHeight="1">
      <c r="A439" s="13" t="s">
        <v>1251</v>
      </c>
      <c r="B439" s="33" t="s">
        <v>1251</v>
      </c>
      <c r="C439" s="4">
        <v>334240</v>
      </c>
      <c r="D439" s="11">
        <v>2.25</v>
      </c>
      <c r="E439" s="4"/>
    </row>
    <row r="440" spans="1:5" ht="13.5" customHeight="1">
      <c r="A440" s="20" t="s">
        <v>1252</v>
      </c>
      <c r="B440" s="32" t="s">
        <v>1253</v>
      </c>
      <c r="C440" s="2" t="s">
        <v>1254</v>
      </c>
      <c r="D440" s="3"/>
      <c r="E440" s="4"/>
    </row>
    <row r="441" spans="1:5" ht="13.5" customHeight="1">
      <c r="A441" s="20" t="s">
        <v>1255</v>
      </c>
      <c r="B441" s="32" t="s">
        <v>1256</v>
      </c>
      <c r="C441" s="2" t="s">
        <v>1257</v>
      </c>
      <c r="D441" s="3">
        <v>0.84</v>
      </c>
      <c r="E441" s="4"/>
    </row>
    <row r="442" spans="1:5" ht="13.5" customHeight="1">
      <c r="A442" s="20" t="s">
        <v>1258</v>
      </c>
      <c r="B442" s="32" t="s">
        <v>1259</v>
      </c>
      <c r="C442" s="2" t="s">
        <v>1260</v>
      </c>
      <c r="D442" s="3"/>
      <c r="E442" s="4"/>
    </row>
    <row r="443" spans="1:5" ht="13.5" customHeight="1">
      <c r="A443" s="20" t="s">
        <v>1261</v>
      </c>
      <c r="B443" s="32" t="s">
        <v>1262</v>
      </c>
      <c r="C443" s="2" t="s">
        <v>1263</v>
      </c>
      <c r="D443" s="3"/>
      <c r="E443" s="4"/>
    </row>
    <row r="444" spans="1:5" ht="13.5" customHeight="1">
      <c r="A444" s="20" t="s">
        <v>1264</v>
      </c>
      <c r="B444" s="32" t="s">
        <v>1265</v>
      </c>
      <c r="C444" s="2" t="s">
        <v>1266</v>
      </c>
      <c r="D444" s="3"/>
      <c r="E444" s="4"/>
    </row>
    <row r="445" spans="1:5" ht="13.5" customHeight="1">
      <c r="A445" s="20" t="s">
        <v>1267</v>
      </c>
      <c r="B445" s="32" t="s">
        <v>1268</v>
      </c>
      <c r="C445" s="2" t="s">
        <v>1269</v>
      </c>
      <c r="D445" s="3">
        <v>0.84</v>
      </c>
      <c r="E445" s="2" t="s">
        <v>15</v>
      </c>
    </row>
    <row r="446" spans="1:5" ht="13.5" customHeight="1">
      <c r="A446" s="20" t="s">
        <v>1270</v>
      </c>
      <c r="B446" s="32" t="s">
        <v>1271</v>
      </c>
      <c r="C446" s="2" t="s">
        <v>1272</v>
      </c>
      <c r="D446" s="3"/>
      <c r="E446" s="4"/>
    </row>
    <row r="447" spans="1:5" ht="13.5" customHeight="1">
      <c r="A447" s="20" t="s">
        <v>1273</v>
      </c>
      <c r="B447" s="32" t="s">
        <v>1274</v>
      </c>
      <c r="C447" s="2" t="s">
        <v>1275</v>
      </c>
      <c r="D447" s="3"/>
      <c r="E447" s="4"/>
    </row>
    <row r="448" spans="1:5" ht="13.5" customHeight="1">
      <c r="A448" s="20" t="s">
        <v>1276</v>
      </c>
      <c r="B448" s="32" t="s">
        <v>1277</v>
      </c>
      <c r="C448" s="2" t="s">
        <v>1278</v>
      </c>
      <c r="D448" s="3"/>
      <c r="E448" s="4"/>
    </row>
    <row r="449" spans="1:5" ht="13.5" customHeight="1">
      <c r="A449" s="20" t="s">
        <v>1279</v>
      </c>
      <c r="B449" s="32" t="s">
        <v>1280</v>
      </c>
      <c r="C449" s="2" t="s">
        <v>1281</v>
      </c>
      <c r="D449" s="3"/>
      <c r="E449" s="4"/>
    </row>
    <row r="450" spans="1:5" ht="13.5" customHeight="1">
      <c r="A450" s="22" t="s">
        <v>1282</v>
      </c>
      <c r="B450" s="31" t="s">
        <v>1283</v>
      </c>
      <c r="C450" s="4">
        <v>334676</v>
      </c>
      <c r="D450" s="11">
        <v>0.4</v>
      </c>
      <c r="E450" s="4"/>
    </row>
    <row r="451" spans="1:5" ht="13.5" customHeight="1">
      <c r="A451" s="20" t="s">
        <v>1284</v>
      </c>
      <c r="B451" s="32" t="s">
        <v>1285</v>
      </c>
      <c r="C451" s="2" t="s">
        <v>1286</v>
      </c>
      <c r="D451" s="3">
        <v>0.15</v>
      </c>
      <c r="E451" s="2" t="s">
        <v>63</v>
      </c>
    </row>
    <row r="452" spans="1:5" ht="13.5" customHeight="1">
      <c r="A452" s="20" t="s">
        <v>1287</v>
      </c>
      <c r="B452" s="32" t="s">
        <v>1288</v>
      </c>
      <c r="C452" s="2" t="s">
        <v>1289</v>
      </c>
      <c r="D452" s="3">
        <v>0.31</v>
      </c>
      <c r="E452" s="2" t="s">
        <v>15</v>
      </c>
    </row>
    <row r="453" spans="1:5" ht="13.5" customHeight="1">
      <c r="A453" s="20" t="s">
        <v>1290</v>
      </c>
      <c r="B453" s="32" t="s">
        <v>1291</v>
      </c>
      <c r="C453" s="2" t="s">
        <v>1292</v>
      </c>
      <c r="D453" s="3">
        <v>0.31</v>
      </c>
      <c r="E453" s="2" t="s">
        <v>15</v>
      </c>
    </row>
    <row r="454" spans="1:5" ht="13.5" customHeight="1">
      <c r="A454" s="20" t="s">
        <v>1293</v>
      </c>
      <c r="B454" s="32" t="s">
        <v>1294</v>
      </c>
      <c r="C454" s="2" t="s">
        <v>1295</v>
      </c>
      <c r="D454" s="3">
        <v>0.31</v>
      </c>
      <c r="E454" s="2" t="s">
        <v>15</v>
      </c>
    </row>
    <row r="455" spans="1:5" ht="13.5" customHeight="1">
      <c r="A455" s="20" t="s">
        <v>1296</v>
      </c>
      <c r="B455" s="32" t="s">
        <v>1297</v>
      </c>
      <c r="C455" s="2" t="s">
        <v>1298</v>
      </c>
      <c r="D455" s="3">
        <v>0.31</v>
      </c>
      <c r="E455" s="2" t="s">
        <v>15</v>
      </c>
    </row>
    <row r="456" spans="1:5" ht="13.5" customHeight="1">
      <c r="A456" s="20" t="s">
        <v>1299</v>
      </c>
      <c r="B456" s="32" t="s">
        <v>1300</v>
      </c>
      <c r="C456" s="2" t="s">
        <v>1301</v>
      </c>
      <c r="D456" s="3">
        <v>0.31</v>
      </c>
      <c r="E456" s="2" t="s">
        <v>15</v>
      </c>
    </row>
    <row r="457" spans="1:5" ht="13.5" customHeight="1">
      <c r="A457" s="20" t="s">
        <v>1302</v>
      </c>
      <c r="B457" s="32" t="s">
        <v>1303</v>
      </c>
      <c r="C457" s="2" t="s">
        <v>1304</v>
      </c>
      <c r="D457" s="3">
        <v>0.3</v>
      </c>
      <c r="E457" s="2" t="s">
        <v>15</v>
      </c>
    </row>
    <row r="458" spans="1:5" ht="13.5" customHeight="1">
      <c r="A458" s="20" t="s">
        <v>1305</v>
      </c>
      <c r="B458" s="32" t="s">
        <v>1306</v>
      </c>
      <c r="C458" s="2" t="s">
        <v>1307</v>
      </c>
      <c r="D458" s="3">
        <v>0.31</v>
      </c>
      <c r="E458" s="2" t="s">
        <v>15</v>
      </c>
    </row>
    <row r="459" spans="1:5" ht="13.5" customHeight="1">
      <c r="A459" s="20" t="s">
        <v>1308</v>
      </c>
      <c r="B459" s="32" t="s">
        <v>1309</v>
      </c>
      <c r="C459" s="2" t="s">
        <v>1310</v>
      </c>
      <c r="D459" s="3">
        <v>0.3</v>
      </c>
      <c r="E459" s="2" t="s">
        <v>15</v>
      </c>
    </row>
    <row r="460" spans="1:5" ht="13.5" customHeight="1">
      <c r="A460" s="20" t="s">
        <v>1311</v>
      </c>
      <c r="B460" s="32" t="s">
        <v>1312</v>
      </c>
      <c r="C460" s="2" t="s">
        <v>1313</v>
      </c>
      <c r="D460" s="3">
        <v>0.3</v>
      </c>
      <c r="E460" s="2" t="s">
        <v>15</v>
      </c>
    </row>
    <row r="461" spans="1:5" ht="13.5" customHeight="1">
      <c r="A461" s="22" t="s">
        <v>1314</v>
      </c>
      <c r="B461" s="31" t="s">
        <v>1315</v>
      </c>
      <c r="C461" s="4">
        <v>335227</v>
      </c>
      <c r="D461" s="11">
        <v>0.3</v>
      </c>
      <c r="E461" s="4"/>
    </row>
    <row r="462" spans="1:5" ht="13.5" customHeight="1">
      <c r="A462" s="22" t="s">
        <v>1314</v>
      </c>
      <c r="B462" s="31" t="s">
        <v>1316</v>
      </c>
      <c r="C462" s="4">
        <v>335228</v>
      </c>
      <c r="D462" s="11">
        <v>0.3</v>
      </c>
      <c r="E462" s="4"/>
    </row>
    <row r="463" spans="1:5" ht="13.5" customHeight="1">
      <c r="A463" s="20" t="s">
        <v>1317</v>
      </c>
      <c r="B463" s="32" t="s">
        <v>1318</v>
      </c>
      <c r="C463" s="2" t="s">
        <v>1319</v>
      </c>
      <c r="D463" s="3">
        <v>0.3</v>
      </c>
      <c r="E463" s="2" t="s">
        <v>15</v>
      </c>
    </row>
    <row r="464" spans="1:5" ht="13.5" customHeight="1">
      <c r="A464" s="22" t="s">
        <v>1320</v>
      </c>
      <c r="B464" s="31" t="s">
        <v>1321</v>
      </c>
      <c r="C464" s="4">
        <v>335235</v>
      </c>
      <c r="D464" s="11">
        <v>0.34</v>
      </c>
      <c r="E464" s="4"/>
    </row>
    <row r="465" spans="1:5" ht="13.5" customHeight="1">
      <c r="A465" s="22" t="s">
        <v>1322</v>
      </c>
      <c r="B465" s="31" t="s">
        <v>1323</v>
      </c>
      <c r="C465" s="4">
        <v>335235</v>
      </c>
      <c r="D465" s="11">
        <v>0.35</v>
      </c>
      <c r="E465" s="4"/>
    </row>
    <row r="466" spans="1:5" ht="13.5" customHeight="1">
      <c r="A466" s="13" t="s">
        <v>1324</v>
      </c>
      <c r="B466" s="31" t="s">
        <v>1325</v>
      </c>
      <c r="C466" s="4">
        <v>335237</v>
      </c>
      <c r="D466" s="12">
        <v>0.34599999999999997</v>
      </c>
      <c r="E466" s="4"/>
    </row>
    <row r="467" spans="1:5" ht="13.5" customHeight="1">
      <c r="A467" s="20" t="s">
        <v>1326</v>
      </c>
      <c r="B467" s="32" t="s">
        <v>1327</v>
      </c>
      <c r="C467" s="2" t="s">
        <v>1328</v>
      </c>
      <c r="D467" s="3"/>
      <c r="E467" s="4"/>
    </row>
    <row r="468" spans="1:5" ht="13.5" customHeight="1">
      <c r="A468" s="20" t="s">
        <v>1329</v>
      </c>
      <c r="B468" s="32" t="s">
        <v>1330</v>
      </c>
      <c r="C468" s="2" t="s">
        <v>1331</v>
      </c>
      <c r="D468" s="3"/>
      <c r="E468" s="4"/>
    </row>
    <row r="469" spans="1:5" ht="13.5" customHeight="1">
      <c r="A469" s="20" t="s">
        <v>1332</v>
      </c>
      <c r="B469" s="32" t="s">
        <v>1333</v>
      </c>
      <c r="C469" s="2" t="s">
        <v>1334</v>
      </c>
      <c r="D469" s="3">
        <v>0.31</v>
      </c>
      <c r="E469" s="2" t="s">
        <v>15</v>
      </c>
    </row>
    <row r="470" spans="1:5" ht="13.5" customHeight="1">
      <c r="A470" s="20" t="s">
        <v>1335</v>
      </c>
      <c r="B470" s="32" t="s">
        <v>1336</v>
      </c>
      <c r="C470" s="2" t="s">
        <v>1337</v>
      </c>
      <c r="D470" s="3">
        <v>0.3</v>
      </c>
      <c r="E470" s="4" t="s">
        <v>15</v>
      </c>
    </row>
    <row r="471" spans="1:5" ht="13.5" customHeight="1">
      <c r="A471" s="22" t="s">
        <v>1338</v>
      </c>
      <c r="B471" s="31" t="s">
        <v>1339</v>
      </c>
      <c r="C471" s="4">
        <v>335409</v>
      </c>
      <c r="D471" s="11">
        <v>0.35</v>
      </c>
      <c r="E471" s="4"/>
    </row>
    <row r="472" spans="1:5" ht="13.5" customHeight="1">
      <c r="A472" s="22" t="s">
        <v>1338</v>
      </c>
      <c r="B472" s="31" t="s">
        <v>1340</v>
      </c>
      <c r="C472" s="4">
        <v>335417</v>
      </c>
      <c r="D472" s="11">
        <v>0.35</v>
      </c>
      <c r="E472" s="4"/>
    </row>
    <row r="473" spans="1:5" ht="13.5" customHeight="1">
      <c r="A473" s="22" t="s">
        <v>1338</v>
      </c>
      <c r="B473" s="31" t="s">
        <v>1341</v>
      </c>
      <c r="C473" s="4">
        <v>335419</v>
      </c>
      <c r="D473" s="11">
        <v>0.35</v>
      </c>
      <c r="E473" s="4"/>
    </row>
    <row r="474" spans="1:5" ht="13.5" customHeight="1">
      <c r="A474" s="22" t="s">
        <v>1338</v>
      </c>
      <c r="B474" s="31" t="s">
        <v>1342</v>
      </c>
      <c r="C474" s="4">
        <v>335651</v>
      </c>
      <c r="D474" s="11">
        <v>0.39500000000000002</v>
      </c>
      <c r="E474" s="4"/>
    </row>
    <row r="475" spans="1:5" ht="13.5" customHeight="1">
      <c r="A475" s="22" t="s">
        <v>1338</v>
      </c>
      <c r="B475" s="31" t="s">
        <v>1343</v>
      </c>
      <c r="C475" s="4">
        <v>335671</v>
      </c>
      <c r="D475" s="11">
        <v>0.4</v>
      </c>
      <c r="E475" s="4"/>
    </row>
    <row r="476" spans="1:5" ht="13.5" customHeight="1">
      <c r="A476" s="22" t="s">
        <v>1338</v>
      </c>
      <c r="B476" s="31" t="s">
        <v>1344</v>
      </c>
      <c r="C476" s="4">
        <v>335835</v>
      </c>
      <c r="D476" s="11">
        <v>0.45</v>
      </c>
      <c r="E476" s="4"/>
    </row>
    <row r="477" spans="1:5" ht="13.5" customHeight="1">
      <c r="A477" s="22" t="s">
        <v>1338</v>
      </c>
      <c r="B477" s="31" t="s">
        <v>1345</v>
      </c>
      <c r="C477" s="4">
        <v>335836</v>
      </c>
      <c r="D477" s="11">
        <v>0.45</v>
      </c>
      <c r="E477" s="4"/>
    </row>
    <row r="478" spans="1:5" ht="13.5" customHeight="1">
      <c r="A478" s="20" t="s">
        <v>1346</v>
      </c>
      <c r="B478" s="32" t="s">
        <v>1347</v>
      </c>
      <c r="C478" s="2" t="s">
        <v>1348</v>
      </c>
      <c r="D478" s="3">
        <v>0.19</v>
      </c>
      <c r="E478" s="2" t="s">
        <v>15</v>
      </c>
    </row>
    <row r="479" spans="1:5" ht="13.5" customHeight="1">
      <c r="A479" s="20" t="s">
        <v>1349</v>
      </c>
      <c r="B479" s="32" t="s">
        <v>1350</v>
      </c>
      <c r="C479" s="2" t="s">
        <v>1351</v>
      </c>
      <c r="D479" s="3">
        <v>0.25</v>
      </c>
      <c r="E479" s="2" t="s">
        <v>15</v>
      </c>
    </row>
    <row r="480" spans="1:5" ht="13.5" customHeight="1">
      <c r="A480" s="20" t="s">
        <v>1352</v>
      </c>
      <c r="B480" s="32" t="s">
        <v>1353</v>
      </c>
      <c r="C480" s="2" t="s">
        <v>1354</v>
      </c>
      <c r="D480" s="3">
        <v>0.24</v>
      </c>
      <c r="E480" s="2" t="s">
        <v>15</v>
      </c>
    </row>
    <row r="481" spans="1:5" ht="13.5" customHeight="1">
      <c r="A481" s="20" t="s">
        <v>1355</v>
      </c>
      <c r="B481" s="32" t="s">
        <v>1356</v>
      </c>
      <c r="C481" s="2" t="s">
        <v>1357</v>
      </c>
      <c r="D481" s="3">
        <v>0.24</v>
      </c>
      <c r="E481" s="2" t="s">
        <v>15</v>
      </c>
    </row>
    <row r="482" spans="1:5" ht="13.5" customHeight="1">
      <c r="A482" s="20" t="s">
        <v>1358</v>
      </c>
      <c r="B482" s="32" t="s">
        <v>1359</v>
      </c>
      <c r="C482" s="2" t="s">
        <v>1360</v>
      </c>
      <c r="D482" s="3">
        <v>0.27</v>
      </c>
      <c r="E482" s="2" t="s">
        <v>15</v>
      </c>
    </row>
    <row r="483" spans="1:5" ht="13.5" customHeight="1">
      <c r="A483" s="20" t="s">
        <v>1361</v>
      </c>
      <c r="B483" s="32" t="s">
        <v>1362</v>
      </c>
      <c r="C483" s="2" t="s">
        <v>1363</v>
      </c>
      <c r="D483" s="3"/>
      <c r="E483" s="4"/>
    </row>
    <row r="484" spans="1:5" ht="13.5" customHeight="1">
      <c r="A484" s="20" t="s">
        <v>1364</v>
      </c>
      <c r="B484" s="32" t="s">
        <v>1365</v>
      </c>
      <c r="C484" s="2" t="s">
        <v>1366</v>
      </c>
      <c r="D484" s="3"/>
      <c r="E484" s="4"/>
    </row>
    <row r="485" spans="1:5" ht="13.5" customHeight="1">
      <c r="A485" s="20" t="s">
        <v>1367</v>
      </c>
      <c r="B485" s="32" t="s">
        <v>1368</v>
      </c>
      <c r="C485" s="2" t="s">
        <v>1369</v>
      </c>
      <c r="D485" s="3"/>
      <c r="E485" s="4"/>
    </row>
    <row r="486" spans="1:5" ht="13.5" customHeight="1">
      <c r="A486" s="20" t="s">
        <v>1370</v>
      </c>
      <c r="B486" s="32" t="s">
        <v>1371</v>
      </c>
      <c r="C486" s="2" t="s">
        <v>1372</v>
      </c>
      <c r="D486" s="3"/>
      <c r="E486" s="4"/>
    </row>
    <row r="487" spans="1:5" ht="13.5" customHeight="1">
      <c r="A487" s="20" t="s">
        <v>1373</v>
      </c>
      <c r="B487" s="32" t="s">
        <v>1374</v>
      </c>
      <c r="C487" s="2" t="s">
        <v>1375</v>
      </c>
      <c r="D487" s="3"/>
      <c r="E487" s="4"/>
    </row>
    <row r="488" spans="1:5" ht="13.5" customHeight="1">
      <c r="A488" s="20" t="s">
        <v>1376</v>
      </c>
      <c r="B488" s="32" t="s">
        <v>1377</v>
      </c>
      <c r="C488" s="2" t="s">
        <v>1378</v>
      </c>
      <c r="D488" s="3"/>
      <c r="E488" s="4"/>
    </row>
    <row r="489" spans="1:5" ht="13.5" customHeight="1">
      <c r="A489" s="20" t="s">
        <v>1379</v>
      </c>
      <c r="B489" s="32" t="s">
        <v>1380</v>
      </c>
      <c r="C489" s="2" t="s">
        <v>1381</v>
      </c>
      <c r="D489" s="3"/>
      <c r="E489" s="4"/>
    </row>
    <row r="490" spans="1:5" ht="13.5" customHeight="1">
      <c r="A490" s="20" t="s">
        <v>1382</v>
      </c>
      <c r="B490" s="32" t="s">
        <v>1383</v>
      </c>
      <c r="C490" s="2" t="s">
        <v>1384</v>
      </c>
      <c r="D490" s="3"/>
      <c r="E490" s="4"/>
    </row>
    <row r="491" spans="1:5" ht="13.5" customHeight="1">
      <c r="A491" s="20" t="s">
        <v>1385</v>
      </c>
      <c r="B491" s="32" t="s">
        <v>1386</v>
      </c>
      <c r="C491" s="2" t="s">
        <v>1387</v>
      </c>
      <c r="D491" s="3"/>
      <c r="E491" s="4"/>
    </row>
    <row r="492" spans="1:5" ht="13.5" customHeight="1">
      <c r="A492" s="20" t="s">
        <v>1388</v>
      </c>
      <c r="B492" s="32" t="s">
        <v>1389</v>
      </c>
      <c r="C492" s="2" t="s">
        <v>1390</v>
      </c>
      <c r="D492" s="3"/>
      <c r="E492" s="4"/>
    </row>
    <row r="493" spans="1:5" ht="13.5" customHeight="1">
      <c r="A493" s="20" t="s">
        <v>1391</v>
      </c>
      <c r="B493" s="32" t="s">
        <v>1392</v>
      </c>
      <c r="C493" s="2" t="s">
        <v>1393</v>
      </c>
      <c r="D493" s="3"/>
      <c r="E493" s="4"/>
    </row>
    <row r="494" spans="1:5" ht="13.5" customHeight="1">
      <c r="A494" s="20" t="s">
        <v>1394</v>
      </c>
      <c r="B494" s="32" t="s">
        <v>1395</v>
      </c>
      <c r="C494" s="2" t="s">
        <v>1396</v>
      </c>
      <c r="D494" s="3"/>
      <c r="E494" s="4"/>
    </row>
    <row r="495" spans="1:5" ht="13.5" customHeight="1">
      <c r="A495" s="20" t="s">
        <v>1397</v>
      </c>
      <c r="B495" s="32" t="s">
        <v>1398</v>
      </c>
      <c r="C495" s="2" t="s">
        <v>1399</v>
      </c>
      <c r="D495" s="3"/>
      <c r="E495" s="4"/>
    </row>
    <row r="496" spans="1:5" ht="13.5" customHeight="1">
      <c r="A496" s="20" t="s">
        <v>1400</v>
      </c>
      <c r="B496" s="32" t="s">
        <v>1401</v>
      </c>
      <c r="C496" s="2" t="s">
        <v>1402</v>
      </c>
      <c r="D496" s="3"/>
      <c r="E496" s="4"/>
    </row>
    <row r="497" spans="1:5" ht="13.5" customHeight="1">
      <c r="A497" s="20" t="s">
        <v>1403</v>
      </c>
      <c r="B497" s="32" t="s">
        <v>1404</v>
      </c>
      <c r="C497" s="2" t="s">
        <v>1405</v>
      </c>
      <c r="D497" s="3"/>
      <c r="E497" s="4"/>
    </row>
    <row r="498" spans="1:5" ht="13.5" customHeight="1">
      <c r="A498" s="20" t="s">
        <v>1406</v>
      </c>
      <c r="B498" s="32" t="s">
        <v>1407</v>
      </c>
      <c r="C498" s="2" t="s">
        <v>1408</v>
      </c>
      <c r="D498" s="3"/>
      <c r="E498" s="4"/>
    </row>
    <row r="499" spans="1:5" ht="13.5" customHeight="1">
      <c r="A499" s="20" t="s">
        <v>1409</v>
      </c>
      <c r="B499" s="32" t="s">
        <v>1410</v>
      </c>
      <c r="C499" s="2" t="s">
        <v>1411</v>
      </c>
      <c r="D499" s="3"/>
      <c r="E499" s="4"/>
    </row>
    <row r="500" spans="1:5" ht="13.5" customHeight="1">
      <c r="A500" s="20" t="s">
        <v>1412</v>
      </c>
      <c r="B500" s="32" t="s">
        <v>1413</v>
      </c>
      <c r="C500" s="2" t="s">
        <v>1414</v>
      </c>
      <c r="D500" s="3"/>
      <c r="E500" s="4"/>
    </row>
    <row r="501" spans="1:5" ht="13.5" customHeight="1">
      <c r="A501" s="20" t="s">
        <v>1415</v>
      </c>
      <c r="B501" s="32" t="s">
        <v>1416</v>
      </c>
      <c r="C501" s="2" t="s">
        <v>1417</v>
      </c>
      <c r="D501" s="3"/>
      <c r="E501" s="4"/>
    </row>
    <row r="502" spans="1:5" ht="13.5" customHeight="1">
      <c r="A502" s="20" t="s">
        <v>1418</v>
      </c>
      <c r="B502" s="32" t="s">
        <v>1419</v>
      </c>
      <c r="C502" s="2" t="s">
        <v>1420</v>
      </c>
      <c r="D502" s="3"/>
      <c r="E502" s="4"/>
    </row>
    <row r="503" spans="1:5" ht="13.5" customHeight="1">
      <c r="A503" s="20" t="s">
        <v>1421</v>
      </c>
      <c r="B503" s="32" t="s">
        <v>1422</v>
      </c>
      <c r="C503" s="2" t="s">
        <v>1423</v>
      </c>
      <c r="D503" s="3"/>
      <c r="E503" s="4"/>
    </row>
    <row r="504" spans="1:5" ht="13.5" customHeight="1">
      <c r="A504" s="20" t="s">
        <v>1424</v>
      </c>
      <c r="B504" s="32" t="s">
        <v>1425</v>
      </c>
      <c r="C504" s="2" t="s">
        <v>1426</v>
      </c>
      <c r="D504" s="3"/>
      <c r="E504" s="4"/>
    </row>
    <row r="505" spans="1:5" ht="13.5" customHeight="1">
      <c r="A505" s="20" t="s">
        <v>1427</v>
      </c>
      <c r="B505" s="32" t="s">
        <v>1428</v>
      </c>
      <c r="C505" s="2" t="s">
        <v>1429</v>
      </c>
      <c r="D505" s="3"/>
      <c r="E505" s="4"/>
    </row>
    <row r="506" spans="1:5" ht="13.5" customHeight="1">
      <c r="A506" s="20" t="s">
        <v>1430</v>
      </c>
      <c r="B506" s="32" t="s">
        <v>1431</v>
      </c>
      <c r="C506" s="2" t="s">
        <v>1432</v>
      </c>
      <c r="D506" s="3"/>
      <c r="E506" s="4"/>
    </row>
    <row r="507" spans="1:5" ht="13.5" customHeight="1">
      <c r="A507" s="20" t="s">
        <v>1433</v>
      </c>
      <c r="B507" s="32" t="s">
        <v>1434</v>
      </c>
      <c r="C507" s="2" t="s">
        <v>1435</v>
      </c>
      <c r="D507" s="3"/>
      <c r="E507" s="4"/>
    </row>
    <row r="508" spans="1:5" ht="13.5" customHeight="1">
      <c r="A508" s="20" t="s">
        <v>1436</v>
      </c>
      <c r="B508" s="32" t="s">
        <v>1437</v>
      </c>
      <c r="C508" s="2" t="s">
        <v>1438</v>
      </c>
      <c r="D508" s="3">
        <v>0.3</v>
      </c>
      <c r="E508" s="2" t="s">
        <v>15</v>
      </c>
    </row>
    <row r="509" spans="1:5" ht="13.5" customHeight="1">
      <c r="A509" s="20" t="s">
        <v>1439</v>
      </c>
      <c r="B509" s="32" t="s">
        <v>1440</v>
      </c>
      <c r="C509" s="2" t="s">
        <v>1441</v>
      </c>
      <c r="D509" s="3"/>
      <c r="E509" s="4"/>
    </row>
    <row r="510" spans="1:5" ht="13.5" customHeight="1">
      <c r="A510" s="20" t="s">
        <v>1442</v>
      </c>
      <c r="B510" s="32" t="s">
        <v>1443</v>
      </c>
      <c r="C510" s="2" t="s">
        <v>1444</v>
      </c>
      <c r="D510" s="3"/>
      <c r="E510" s="4"/>
    </row>
    <row r="511" spans="1:5" ht="13.5" customHeight="1">
      <c r="A511" s="20" t="s">
        <v>1445</v>
      </c>
      <c r="B511" s="32" t="s">
        <v>1446</v>
      </c>
      <c r="C511" s="2" t="s">
        <v>1447</v>
      </c>
      <c r="D511" s="3"/>
      <c r="E511" s="4"/>
    </row>
    <row r="512" spans="1:5" ht="13.5" customHeight="1">
      <c r="A512" s="20" t="s">
        <v>1448</v>
      </c>
      <c r="B512" s="32" t="s">
        <v>1449</v>
      </c>
      <c r="C512" s="2" t="s">
        <v>1450</v>
      </c>
      <c r="D512" s="3"/>
      <c r="E512" s="4"/>
    </row>
    <row r="513" spans="1:5" ht="13.5" customHeight="1">
      <c r="A513" s="20" t="s">
        <v>1451</v>
      </c>
      <c r="B513" s="32" t="s">
        <v>1452</v>
      </c>
      <c r="C513" s="2" t="s">
        <v>1453</v>
      </c>
      <c r="D513" s="3"/>
      <c r="E513" s="4"/>
    </row>
    <row r="514" spans="1:5" ht="13.5" customHeight="1">
      <c r="A514" s="20" t="s">
        <v>1454</v>
      </c>
      <c r="B514" s="32" t="s">
        <v>1455</v>
      </c>
      <c r="C514" s="2" t="s">
        <v>1456</v>
      </c>
      <c r="D514" s="3">
        <v>0.19</v>
      </c>
      <c r="E514" s="2" t="s">
        <v>15</v>
      </c>
    </row>
    <row r="515" spans="1:5" ht="13.5" customHeight="1">
      <c r="A515" s="20" t="s">
        <v>1457</v>
      </c>
      <c r="B515" s="32" t="s">
        <v>1458</v>
      </c>
      <c r="C515" s="2" t="s">
        <v>1459</v>
      </c>
      <c r="D515" s="3"/>
      <c r="E515" s="4"/>
    </row>
    <row r="516" spans="1:5" ht="13.5" customHeight="1">
      <c r="A516" s="20" t="s">
        <v>1460</v>
      </c>
      <c r="B516" s="32" t="s">
        <v>1461</v>
      </c>
      <c r="C516" s="2" t="s">
        <v>1462</v>
      </c>
      <c r="D516" s="3"/>
      <c r="E516" s="4"/>
    </row>
    <row r="517" spans="1:5" ht="13.5" customHeight="1">
      <c r="A517" s="20" t="s">
        <v>1463</v>
      </c>
      <c r="B517" s="32" t="s">
        <v>1464</v>
      </c>
      <c r="C517" s="2" t="s">
        <v>1465</v>
      </c>
      <c r="D517" s="3"/>
      <c r="E517" s="4"/>
    </row>
    <row r="518" spans="1:5" ht="13.5" customHeight="1">
      <c r="A518" s="20" t="s">
        <v>1466</v>
      </c>
      <c r="B518" s="32" t="s">
        <v>1467</v>
      </c>
      <c r="C518" s="2" t="s">
        <v>1468</v>
      </c>
      <c r="D518" s="3">
        <v>0.24</v>
      </c>
      <c r="E518" s="2" t="s">
        <v>15</v>
      </c>
    </row>
    <row r="519" spans="1:5" ht="13.5" customHeight="1">
      <c r="A519" s="20" t="s">
        <v>1469</v>
      </c>
      <c r="B519" s="32" t="s">
        <v>1470</v>
      </c>
      <c r="C519" s="2" t="s">
        <v>1471</v>
      </c>
      <c r="D519" s="3"/>
      <c r="E519" s="4"/>
    </row>
    <row r="520" spans="1:5" ht="13.5" customHeight="1">
      <c r="A520" s="20" t="s">
        <v>1472</v>
      </c>
      <c r="B520" s="32" t="s">
        <v>1473</v>
      </c>
      <c r="C520" s="2" t="s">
        <v>1474</v>
      </c>
      <c r="D520" s="3">
        <v>0.24</v>
      </c>
      <c r="E520" s="2" t="s">
        <v>15</v>
      </c>
    </row>
    <row r="521" spans="1:5" ht="13.5" customHeight="1">
      <c r="A521" s="20" t="s">
        <v>1475</v>
      </c>
      <c r="B521" s="32" t="s">
        <v>1476</v>
      </c>
      <c r="C521" s="2" t="s">
        <v>1477</v>
      </c>
      <c r="D521" s="3"/>
      <c r="E521" s="4"/>
    </row>
    <row r="522" spans="1:5" ht="13.5" customHeight="1">
      <c r="A522" s="20" t="s">
        <v>1478</v>
      </c>
      <c r="B522" s="32" t="s">
        <v>1479</v>
      </c>
      <c r="C522" s="2" t="s">
        <v>1480</v>
      </c>
      <c r="D522" s="3"/>
      <c r="E522" s="4"/>
    </row>
    <row r="523" spans="1:5" ht="13.5" customHeight="1">
      <c r="A523" s="20" t="s">
        <v>1481</v>
      </c>
      <c r="B523" s="32" t="s">
        <v>1482</v>
      </c>
      <c r="C523" s="2" t="s">
        <v>1483</v>
      </c>
      <c r="D523" s="3"/>
      <c r="E523" s="4"/>
    </row>
    <row r="524" spans="1:5" ht="13.5" customHeight="1">
      <c r="A524" s="20" t="s">
        <v>1484</v>
      </c>
      <c r="B524" s="32" t="s">
        <v>1485</v>
      </c>
      <c r="C524" s="2" t="s">
        <v>1486</v>
      </c>
      <c r="D524" s="3"/>
      <c r="E524" s="4"/>
    </row>
    <row r="525" spans="1:5" ht="13.5" customHeight="1">
      <c r="A525" s="20" t="s">
        <v>1487</v>
      </c>
      <c r="B525" s="32" t="s">
        <v>1488</v>
      </c>
      <c r="C525" s="2" t="s">
        <v>1489</v>
      </c>
      <c r="D525" s="3"/>
      <c r="E525" s="4"/>
    </row>
    <row r="526" spans="1:5" ht="13.5" customHeight="1">
      <c r="A526" s="20" t="s">
        <v>1490</v>
      </c>
      <c r="B526" s="32" t="s">
        <v>1491</v>
      </c>
      <c r="C526" s="2" t="s">
        <v>1492</v>
      </c>
      <c r="D526" s="3"/>
      <c r="E526" s="4"/>
    </row>
    <row r="527" spans="1:5" ht="13.5" customHeight="1">
      <c r="A527" s="20" t="s">
        <v>1493</v>
      </c>
      <c r="B527" s="32" t="s">
        <v>1494</v>
      </c>
      <c r="C527" s="2" t="s">
        <v>1495</v>
      </c>
      <c r="D527" s="3"/>
      <c r="E527" s="4"/>
    </row>
    <row r="528" spans="1:5" ht="13.5" customHeight="1">
      <c r="A528" s="20" t="s">
        <v>1496</v>
      </c>
      <c r="B528" s="32" t="s">
        <v>1497</v>
      </c>
      <c r="C528" s="2" t="s">
        <v>1498</v>
      </c>
      <c r="D528" s="3"/>
      <c r="E528" s="4"/>
    </row>
    <row r="529" spans="1:5" ht="13.5" customHeight="1">
      <c r="A529" s="20" t="s">
        <v>1499</v>
      </c>
      <c r="B529" s="32" t="s">
        <v>1500</v>
      </c>
      <c r="C529" s="2" t="s">
        <v>1501</v>
      </c>
      <c r="D529" s="3"/>
      <c r="E529" s="4"/>
    </row>
    <row r="530" spans="1:5" ht="13.5" customHeight="1">
      <c r="A530" s="20" t="s">
        <v>1502</v>
      </c>
      <c r="B530" s="32" t="s">
        <v>1503</v>
      </c>
      <c r="C530" s="2" t="s">
        <v>1504</v>
      </c>
      <c r="D530" s="3">
        <v>0.24</v>
      </c>
      <c r="E530" s="2" t="s">
        <v>15</v>
      </c>
    </row>
    <row r="531" spans="1:5" ht="13.5" customHeight="1">
      <c r="A531" s="20" t="s">
        <v>1505</v>
      </c>
      <c r="B531" s="32" t="s">
        <v>1506</v>
      </c>
      <c r="C531" s="2" t="s">
        <v>1507</v>
      </c>
      <c r="D531" s="3"/>
      <c r="E531" s="4"/>
    </row>
    <row r="532" spans="1:5" ht="13.5" customHeight="1">
      <c r="A532" s="20" t="s">
        <v>1508</v>
      </c>
      <c r="B532" s="32" t="s">
        <v>1509</v>
      </c>
      <c r="C532" s="2" t="s">
        <v>1510</v>
      </c>
      <c r="D532" s="3"/>
      <c r="E532" s="4"/>
    </row>
    <row r="533" spans="1:5" ht="13.5" customHeight="1">
      <c r="A533" s="20" t="s">
        <v>1511</v>
      </c>
      <c r="B533" s="32" t="s">
        <v>1512</v>
      </c>
      <c r="C533" s="2" t="s">
        <v>1513</v>
      </c>
      <c r="D533" s="3">
        <v>1</v>
      </c>
      <c r="E533" s="4"/>
    </row>
    <row r="534" spans="1:5" ht="13.5" customHeight="1">
      <c r="A534" s="20" t="s">
        <v>1514</v>
      </c>
      <c r="B534" s="32" t="s">
        <v>1515</v>
      </c>
      <c r="C534" s="2" t="s">
        <v>1516</v>
      </c>
      <c r="D534" s="3">
        <v>1</v>
      </c>
      <c r="E534" s="4"/>
    </row>
    <row r="535" spans="1:5" ht="13.5" customHeight="1">
      <c r="A535" s="20" t="s">
        <v>1517</v>
      </c>
      <c r="B535" s="32" t="s">
        <v>1518</v>
      </c>
      <c r="C535" s="2" t="s">
        <v>1519</v>
      </c>
      <c r="D535" s="3">
        <v>1</v>
      </c>
      <c r="E535" s="4"/>
    </row>
    <row r="536" spans="1:5" ht="13.5" customHeight="1">
      <c r="A536" s="20" t="s">
        <v>1520</v>
      </c>
      <c r="B536" s="32" t="s">
        <v>1521</v>
      </c>
      <c r="C536" s="2" t="s">
        <v>1522</v>
      </c>
      <c r="D536" s="3">
        <v>1</v>
      </c>
      <c r="E536" s="4"/>
    </row>
    <row r="537" spans="1:5" ht="13.5" customHeight="1">
      <c r="A537" s="20" t="s">
        <v>1523</v>
      </c>
      <c r="B537" s="32" t="s">
        <v>1524</v>
      </c>
      <c r="C537" s="2" t="s">
        <v>1525</v>
      </c>
      <c r="D537" s="3">
        <v>1</v>
      </c>
      <c r="E537" s="4"/>
    </row>
    <row r="538" spans="1:5" ht="13.5" customHeight="1">
      <c r="A538" s="20" t="s">
        <v>1526</v>
      </c>
      <c r="B538" s="32" t="s">
        <v>1527</v>
      </c>
      <c r="C538" s="2" t="s">
        <v>1528</v>
      </c>
      <c r="D538" s="3">
        <v>1</v>
      </c>
      <c r="E538" s="4"/>
    </row>
    <row r="539" spans="1:5" ht="13.5" customHeight="1">
      <c r="A539" s="20" t="s">
        <v>1529</v>
      </c>
      <c r="B539" s="32" t="s">
        <v>1530</v>
      </c>
      <c r="C539" s="2" t="s">
        <v>1531</v>
      </c>
      <c r="D539" s="3">
        <v>1</v>
      </c>
      <c r="E539" s="2" t="s">
        <v>15</v>
      </c>
    </row>
    <row r="540" spans="1:5" ht="13.5" customHeight="1">
      <c r="A540" s="20" t="s">
        <v>1532</v>
      </c>
      <c r="B540" s="32" t="s">
        <v>1533</v>
      </c>
      <c r="C540" s="2" t="s">
        <v>1534</v>
      </c>
      <c r="D540" s="3"/>
      <c r="E540" s="4"/>
    </row>
    <row r="541" spans="1:5" ht="13.5" customHeight="1">
      <c r="A541" s="20" t="s">
        <v>1535</v>
      </c>
      <c r="B541" s="32" t="s">
        <v>1536</v>
      </c>
      <c r="C541" s="2" t="s">
        <v>1537</v>
      </c>
      <c r="D541" s="3">
        <v>0.98</v>
      </c>
      <c r="E541" s="2" t="s">
        <v>15</v>
      </c>
    </row>
    <row r="542" spans="1:5" ht="13.5" customHeight="1">
      <c r="A542" s="20" t="s">
        <v>1538</v>
      </c>
      <c r="B542" s="32" t="s">
        <v>1539</v>
      </c>
      <c r="C542" s="2" t="s">
        <v>1540</v>
      </c>
      <c r="D542" s="3">
        <v>1</v>
      </c>
      <c r="E542" s="2" t="s">
        <v>15</v>
      </c>
    </row>
    <row r="543" spans="1:5" ht="13.5" customHeight="1">
      <c r="A543" s="22" t="s">
        <v>1541</v>
      </c>
      <c r="B543" s="31" t="s">
        <v>1542</v>
      </c>
      <c r="C543" s="13" t="s">
        <v>1543</v>
      </c>
      <c r="D543" s="11">
        <v>1.05</v>
      </c>
      <c r="E543" s="4"/>
    </row>
    <row r="544" spans="1:5" ht="13.5" customHeight="1">
      <c r="A544" s="20" t="s">
        <v>1544</v>
      </c>
      <c r="B544" s="32" t="s">
        <v>1545</v>
      </c>
      <c r="C544" s="2" t="s">
        <v>1546</v>
      </c>
      <c r="D544" s="3"/>
      <c r="E544" s="4"/>
    </row>
    <row r="545" spans="1:5" ht="13.5" customHeight="1">
      <c r="A545" s="20" t="s">
        <v>1547</v>
      </c>
      <c r="B545" s="32" t="s">
        <v>1548</v>
      </c>
      <c r="C545" s="2" t="s">
        <v>1549</v>
      </c>
      <c r="D545" s="3">
        <v>1</v>
      </c>
      <c r="E545" s="4"/>
    </row>
    <row r="546" spans="1:5" ht="13.5" customHeight="1">
      <c r="A546" s="20" t="s">
        <v>1550</v>
      </c>
      <c r="B546" s="32" t="s">
        <v>1551</v>
      </c>
      <c r="C546" s="2" t="s">
        <v>1552</v>
      </c>
      <c r="D546" s="3">
        <v>1</v>
      </c>
      <c r="E546" s="4"/>
    </row>
    <row r="547" spans="1:5" ht="13.5" customHeight="1">
      <c r="A547" s="20" t="s">
        <v>1553</v>
      </c>
      <c r="B547" s="32" t="s">
        <v>1554</v>
      </c>
      <c r="C547" s="2" t="s">
        <v>1555</v>
      </c>
      <c r="D547" s="3">
        <v>1</v>
      </c>
      <c r="E547" s="4"/>
    </row>
    <row r="548" spans="1:5" ht="13.5" customHeight="1">
      <c r="A548" s="20" t="s">
        <v>1556</v>
      </c>
      <c r="B548" s="32" t="s">
        <v>1557</v>
      </c>
      <c r="C548" s="2" t="s">
        <v>1558</v>
      </c>
      <c r="D548" s="3">
        <v>1</v>
      </c>
      <c r="E548" s="4"/>
    </row>
    <row r="549" spans="1:5" ht="13.5" customHeight="1">
      <c r="A549" s="20" t="s">
        <v>1559</v>
      </c>
      <c r="B549" s="32" t="s">
        <v>1560</v>
      </c>
      <c r="C549" s="2" t="s">
        <v>1561</v>
      </c>
      <c r="D549" s="3">
        <v>1</v>
      </c>
      <c r="E549" s="4"/>
    </row>
    <row r="550" spans="1:5" ht="13.5" customHeight="1">
      <c r="A550" s="20" t="s">
        <v>1562</v>
      </c>
      <c r="B550" s="32" t="s">
        <v>1563</v>
      </c>
      <c r="C550" s="2" t="s">
        <v>1564</v>
      </c>
      <c r="D550" s="3">
        <v>1</v>
      </c>
      <c r="E550" s="4"/>
    </row>
    <row r="551" spans="1:5" ht="13.5" customHeight="1">
      <c r="A551" s="20" t="s">
        <v>1565</v>
      </c>
      <c r="B551" s="32" t="s">
        <v>1566</v>
      </c>
      <c r="C551" s="2" t="s">
        <v>1567</v>
      </c>
      <c r="D551" s="3">
        <v>1</v>
      </c>
      <c r="E551" s="4"/>
    </row>
    <row r="552" spans="1:5" ht="13.5" customHeight="1">
      <c r="A552" s="20" t="s">
        <v>1568</v>
      </c>
      <c r="B552" s="32" t="s">
        <v>1569</v>
      </c>
      <c r="C552" s="2" t="s">
        <v>1570</v>
      </c>
      <c r="D552" s="3">
        <v>1</v>
      </c>
      <c r="E552" s="4"/>
    </row>
    <row r="553" spans="1:5" ht="13.5" customHeight="1">
      <c r="A553" s="20" t="s">
        <v>1571</v>
      </c>
      <c r="B553" s="32" t="s">
        <v>1572</v>
      </c>
      <c r="C553" s="2" t="s">
        <v>1573</v>
      </c>
      <c r="D553" s="3">
        <v>1</v>
      </c>
      <c r="E553" s="4"/>
    </row>
    <row r="554" spans="1:5" ht="13.5" customHeight="1">
      <c r="A554" s="20" t="s">
        <v>1574</v>
      </c>
      <c r="B554" s="32" t="s">
        <v>1575</v>
      </c>
      <c r="C554" s="2" t="s">
        <v>1576</v>
      </c>
      <c r="D554" s="3"/>
      <c r="E554" s="4"/>
    </row>
    <row r="555" spans="1:5" ht="13.5" customHeight="1">
      <c r="A555" s="20" t="s">
        <v>1577</v>
      </c>
      <c r="B555" s="32" t="s">
        <v>1578</v>
      </c>
      <c r="C555" s="2" t="s">
        <v>1579</v>
      </c>
      <c r="D555" s="3"/>
      <c r="E555" s="4"/>
    </row>
    <row r="556" spans="1:5" ht="13.5" customHeight="1">
      <c r="A556" s="20" t="s">
        <v>1580</v>
      </c>
      <c r="B556" s="32" t="s">
        <v>1581</v>
      </c>
      <c r="C556" s="2" t="s">
        <v>1582</v>
      </c>
      <c r="D556" s="3"/>
      <c r="E556" s="4"/>
    </row>
    <row r="557" spans="1:5" ht="13.5" customHeight="1">
      <c r="A557" s="20" t="s">
        <v>1583</v>
      </c>
      <c r="B557" s="32" t="s">
        <v>1584</v>
      </c>
      <c r="C557" s="2" t="s">
        <v>1585</v>
      </c>
      <c r="D557" s="3"/>
      <c r="E557" s="4"/>
    </row>
    <row r="558" spans="1:5" ht="13.5" customHeight="1">
      <c r="A558" s="20" t="s">
        <v>1586</v>
      </c>
      <c r="B558" s="32" t="s">
        <v>1587</v>
      </c>
      <c r="C558" s="2" t="s">
        <v>1588</v>
      </c>
      <c r="D558" s="3"/>
      <c r="E558" s="4"/>
    </row>
    <row r="559" spans="1:5" ht="13.5" customHeight="1">
      <c r="A559" s="20" t="s">
        <v>1589</v>
      </c>
      <c r="B559" s="32" t="s">
        <v>1590</v>
      </c>
      <c r="C559" s="2" t="s">
        <v>1591</v>
      </c>
      <c r="D559" s="3"/>
      <c r="E559" s="4"/>
    </row>
    <row r="560" spans="1:5" ht="13.5" customHeight="1">
      <c r="A560" s="20" t="s">
        <v>1592</v>
      </c>
      <c r="B560" s="32" t="s">
        <v>1593</v>
      </c>
      <c r="C560" s="2" t="s">
        <v>1594</v>
      </c>
      <c r="D560" s="3"/>
      <c r="E560" s="4"/>
    </row>
    <row r="561" spans="1:5" ht="13.5" customHeight="1">
      <c r="A561" s="20" t="s">
        <v>1595</v>
      </c>
      <c r="B561" s="32" t="s">
        <v>1596</v>
      </c>
      <c r="C561" s="2" t="s">
        <v>1597</v>
      </c>
      <c r="D561" s="3"/>
      <c r="E561" s="4"/>
    </row>
    <row r="562" spans="1:5" ht="13.5" customHeight="1">
      <c r="A562" s="20" t="s">
        <v>1598</v>
      </c>
      <c r="B562" s="32" t="s">
        <v>1599</v>
      </c>
      <c r="C562" s="2" t="s">
        <v>1600</v>
      </c>
      <c r="D562" s="3"/>
      <c r="E562" s="4"/>
    </row>
    <row r="563" spans="1:5" ht="13.5" customHeight="1">
      <c r="A563" s="20" t="s">
        <v>1601</v>
      </c>
      <c r="B563" s="32" t="s">
        <v>1602</v>
      </c>
      <c r="C563" s="2" t="s">
        <v>1603</v>
      </c>
      <c r="D563" s="3"/>
      <c r="E563" s="4"/>
    </row>
    <row r="564" spans="1:5" ht="13.5" customHeight="1">
      <c r="A564" s="20" t="s">
        <v>1604</v>
      </c>
      <c r="B564" s="32" t="s">
        <v>1605</v>
      </c>
      <c r="C564" s="2" t="s">
        <v>1606</v>
      </c>
      <c r="D564" s="3"/>
      <c r="E564" s="4"/>
    </row>
    <row r="565" spans="1:5" ht="13.5" customHeight="1">
      <c r="A565" s="20" t="s">
        <v>1607</v>
      </c>
      <c r="B565" s="32" t="s">
        <v>1608</v>
      </c>
      <c r="C565" s="2" t="s">
        <v>1609</v>
      </c>
      <c r="D565" s="3"/>
      <c r="E565" s="4"/>
    </row>
    <row r="566" spans="1:5" ht="13.5" customHeight="1">
      <c r="A566" s="20" t="s">
        <v>1610</v>
      </c>
      <c r="B566" s="32" t="s">
        <v>1611</v>
      </c>
      <c r="C566" s="2">
        <v>341110</v>
      </c>
      <c r="D566" s="3">
        <v>0.02</v>
      </c>
      <c r="E566" s="4"/>
    </row>
    <row r="567" spans="1:5" ht="13.5" customHeight="1">
      <c r="A567" s="20" t="s">
        <v>1612</v>
      </c>
      <c r="B567" s="32" t="s">
        <v>1613</v>
      </c>
      <c r="C567" s="2" t="s">
        <v>1614</v>
      </c>
      <c r="D567" s="3">
        <v>0</v>
      </c>
      <c r="E567" s="4"/>
    </row>
    <row r="568" spans="1:5" ht="13.5" customHeight="1">
      <c r="A568" s="20" t="s">
        <v>1615</v>
      </c>
      <c r="B568" s="32" t="s">
        <v>1616</v>
      </c>
      <c r="C568" s="2" t="s">
        <v>1617</v>
      </c>
      <c r="D568" s="3"/>
      <c r="E568" s="4"/>
    </row>
    <row r="569" spans="1:5" ht="13.5" customHeight="1">
      <c r="A569" s="20" t="s">
        <v>1618</v>
      </c>
      <c r="B569" s="32" t="s">
        <v>1619</v>
      </c>
      <c r="C569" s="2" t="s">
        <v>1620</v>
      </c>
      <c r="D569" s="3">
        <v>1</v>
      </c>
      <c r="E569" s="4"/>
    </row>
    <row r="570" spans="1:5" ht="13.5" customHeight="1">
      <c r="A570" s="20" t="s">
        <v>1621</v>
      </c>
      <c r="B570" s="32" t="s">
        <v>1622</v>
      </c>
      <c r="C570" s="2" t="s">
        <v>1623</v>
      </c>
      <c r="D570" s="3">
        <v>1</v>
      </c>
      <c r="E570" s="4"/>
    </row>
    <row r="571" spans="1:5" ht="13.5" customHeight="1">
      <c r="A571" s="20" t="s">
        <v>1624</v>
      </c>
      <c r="B571" s="32" t="s">
        <v>1625</v>
      </c>
      <c r="C571" s="2" t="s">
        <v>1626</v>
      </c>
      <c r="D571" s="3">
        <v>1</v>
      </c>
      <c r="E571" s="4"/>
    </row>
    <row r="572" spans="1:5" ht="13.5" customHeight="1">
      <c r="A572" s="20" t="s">
        <v>1627</v>
      </c>
      <c r="B572" s="32" t="s">
        <v>1628</v>
      </c>
      <c r="C572" s="2" t="s">
        <v>1629</v>
      </c>
      <c r="D572" s="3">
        <v>1</v>
      </c>
      <c r="E572" s="4"/>
    </row>
    <row r="573" spans="1:5" ht="13.5" customHeight="1">
      <c r="A573" s="20" t="s">
        <v>1630</v>
      </c>
      <c r="B573" s="32" t="s">
        <v>1631</v>
      </c>
      <c r="C573" s="2" t="s">
        <v>1632</v>
      </c>
      <c r="D573" s="3">
        <v>1</v>
      </c>
      <c r="E573" s="2" t="s">
        <v>15</v>
      </c>
    </row>
    <row r="574" spans="1:5" ht="13.5" customHeight="1">
      <c r="A574" s="20" t="s">
        <v>1633</v>
      </c>
      <c r="B574" s="32" t="s">
        <v>1634</v>
      </c>
      <c r="C574" s="2" t="s">
        <v>1635</v>
      </c>
      <c r="D574" s="7">
        <v>1</v>
      </c>
      <c r="E574" s="2" t="s">
        <v>15</v>
      </c>
    </row>
    <row r="575" spans="1:5" ht="13.5" customHeight="1">
      <c r="A575" s="20" t="s">
        <v>1636</v>
      </c>
      <c r="B575" s="32" t="s">
        <v>1637</v>
      </c>
      <c r="C575" s="2" t="s">
        <v>1638</v>
      </c>
      <c r="D575" s="7">
        <v>1</v>
      </c>
      <c r="E575" s="2" t="s">
        <v>15</v>
      </c>
    </row>
    <row r="576" spans="1:5" ht="13.5" customHeight="1">
      <c r="A576" s="20" t="s">
        <v>1639</v>
      </c>
      <c r="B576" s="32" t="s">
        <v>1640</v>
      </c>
      <c r="C576" s="2" t="s">
        <v>1641</v>
      </c>
      <c r="D576" s="7">
        <v>1</v>
      </c>
      <c r="E576" s="2" t="s">
        <v>15</v>
      </c>
    </row>
    <row r="577" spans="1:5" ht="13.5" customHeight="1">
      <c r="A577" s="20" t="s">
        <v>1642</v>
      </c>
      <c r="B577" s="32" t="s">
        <v>1643</v>
      </c>
      <c r="C577" s="2" t="s">
        <v>1644</v>
      </c>
      <c r="D577" s="3">
        <v>1</v>
      </c>
      <c r="E577" s="8" t="s">
        <v>15</v>
      </c>
    </row>
    <row r="578" spans="1:5" ht="13.5" customHeight="1">
      <c r="A578" s="20" t="s">
        <v>1645</v>
      </c>
      <c r="B578" s="32" t="s">
        <v>1646</v>
      </c>
      <c r="C578" s="2" t="s">
        <v>1647</v>
      </c>
      <c r="D578" s="3">
        <v>1</v>
      </c>
      <c r="E578" s="8" t="s">
        <v>15</v>
      </c>
    </row>
    <row r="579" spans="1:5" ht="13.5" customHeight="1">
      <c r="A579" s="20" t="s">
        <v>1648</v>
      </c>
      <c r="B579" s="32" t="s">
        <v>1649</v>
      </c>
      <c r="C579" s="2" t="s">
        <v>1650</v>
      </c>
      <c r="D579" s="3">
        <v>1</v>
      </c>
      <c r="E579" s="8" t="s">
        <v>15</v>
      </c>
    </row>
    <row r="580" spans="1:5" ht="13.5" customHeight="1">
      <c r="A580" s="20" t="s">
        <v>1651</v>
      </c>
      <c r="B580" s="32" t="s">
        <v>1652</v>
      </c>
      <c r="C580" s="2" t="s">
        <v>1653</v>
      </c>
      <c r="D580" s="3">
        <v>1</v>
      </c>
      <c r="E580" s="8" t="s">
        <v>15</v>
      </c>
    </row>
    <row r="581" spans="1:5" ht="13.5" customHeight="1">
      <c r="A581" s="20" t="s">
        <v>1654</v>
      </c>
      <c r="B581" s="32" t="s">
        <v>1655</v>
      </c>
      <c r="C581" s="2" t="s">
        <v>1656</v>
      </c>
      <c r="D581" s="3">
        <v>1</v>
      </c>
      <c r="E581" s="8" t="s">
        <v>15</v>
      </c>
    </row>
    <row r="582" spans="1:5" ht="13.5" customHeight="1">
      <c r="A582" s="20" t="s">
        <v>1657</v>
      </c>
      <c r="B582" s="32" t="s">
        <v>1658</v>
      </c>
      <c r="C582" s="2" t="s">
        <v>1659</v>
      </c>
      <c r="D582" s="3">
        <v>1</v>
      </c>
      <c r="E582" s="8" t="s">
        <v>15</v>
      </c>
    </row>
    <row r="583" spans="1:5" ht="13.5" customHeight="1">
      <c r="A583" s="20" t="s">
        <v>1660</v>
      </c>
      <c r="B583" s="32" t="s">
        <v>1661</v>
      </c>
      <c r="C583" s="2" t="s">
        <v>1662</v>
      </c>
      <c r="D583" s="3">
        <v>1</v>
      </c>
      <c r="E583" s="8" t="s">
        <v>15</v>
      </c>
    </row>
    <row r="584" spans="1:5" ht="13.5" customHeight="1">
      <c r="A584" s="20" t="s">
        <v>1663</v>
      </c>
      <c r="B584" s="32" t="s">
        <v>1664</v>
      </c>
      <c r="C584" s="2" t="s">
        <v>1665</v>
      </c>
      <c r="D584" s="3">
        <v>1</v>
      </c>
      <c r="E584" s="8" t="s">
        <v>15</v>
      </c>
    </row>
    <row r="585" spans="1:5" ht="13.5" customHeight="1">
      <c r="A585" s="20" t="s">
        <v>1666</v>
      </c>
      <c r="B585" s="32" t="s">
        <v>1667</v>
      </c>
      <c r="C585" s="2" t="s">
        <v>1668</v>
      </c>
      <c r="D585" s="3">
        <v>1</v>
      </c>
      <c r="E585" s="8" t="s">
        <v>15</v>
      </c>
    </row>
    <row r="586" spans="1:5" ht="13.5" customHeight="1">
      <c r="A586" s="20" t="s">
        <v>1669</v>
      </c>
      <c r="B586" s="32" t="s">
        <v>1670</v>
      </c>
      <c r="C586" s="2" t="s">
        <v>1671</v>
      </c>
      <c r="D586" s="3">
        <v>1</v>
      </c>
      <c r="E586" s="8" t="s">
        <v>15</v>
      </c>
    </row>
    <row r="587" spans="1:5" ht="13.5" customHeight="1">
      <c r="A587" s="20" t="s">
        <v>1672</v>
      </c>
      <c r="B587" s="32" t="s">
        <v>1673</v>
      </c>
      <c r="C587" s="2" t="s">
        <v>1674</v>
      </c>
      <c r="D587" s="3">
        <v>1</v>
      </c>
      <c r="E587" s="8" t="s">
        <v>15</v>
      </c>
    </row>
    <row r="588" spans="1:5" ht="13.5" customHeight="1">
      <c r="A588" s="20" t="s">
        <v>1675</v>
      </c>
      <c r="B588" s="32" t="s">
        <v>1676</v>
      </c>
      <c r="C588" s="2" t="s">
        <v>1677</v>
      </c>
      <c r="D588" s="3">
        <v>1</v>
      </c>
      <c r="E588" s="8" t="s">
        <v>15</v>
      </c>
    </row>
    <row r="589" spans="1:5" ht="13.5" customHeight="1">
      <c r="A589" s="20" t="s">
        <v>1678</v>
      </c>
      <c r="B589" s="32" t="s">
        <v>1679</v>
      </c>
      <c r="C589" s="2" t="s">
        <v>1680</v>
      </c>
      <c r="D589" s="3">
        <v>1</v>
      </c>
      <c r="E589" s="8" t="s">
        <v>15</v>
      </c>
    </row>
    <row r="590" spans="1:5" ht="13.5" customHeight="1">
      <c r="A590" s="20" t="s">
        <v>1681</v>
      </c>
      <c r="B590" s="32" t="s">
        <v>1682</v>
      </c>
      <c r="C590" s="2" t="s">
        <v>1683</v>
      </c>
      <c r="D590" s="3">
        <v>1</v>
      </c>
      <c r="E590" s="8" t="s">
        <v>15</v>
      </c>
    </row>
    <row r="591" spans="1:5" ht="13.5" customHeight="1">
      <c r="A591" s="20" t="s">
        <v>1684</v>
      </c>
      <c r="B591" s="32" t="s">
        <v>1685</v>
      </c>
      <c r="C591" s="2" t="s">
        <v>1686</v>
      </c>
      <c r="D591" s="3">
        <v>1</v>
      </c>
      <c r="E591" s="8" t="s">
        <v>15</v>
      </c>
    </row>
    <row r="592" spans="1:5" ht="13.5" customHeight="1">
      <c r="A592" s="20" t="s">
        <v>1687</v>
      </c>
      <c r="B592" s="32" t="s">
        <v>1688</v>
      </c>
      <c r="C592" s="2" t="s">
        <v>1689</v>
      </c>
      <c r="D592" s="3">
        <v>1</v>
      </c>
      <c r="E592" s="8" t="s">
        <v>15</v>
      </c>
    </row>
    <row r="593" spans="1:5" ht="13.5" customHeight="1">
      <c r="A593" s="20" t="s">
        <v>1690</v>
      </c>
      <c r="B593" s="32" t="s">
        <v>1691</v>
      </c>
      <c r="C593" s="2" t="s">
        <v>1692</v>
      </c>
      <c r="D593" s="3">
        <v>1</v>
      </c>
      <c r="E593" s="8" t="s">
        <v>15</v>
      </c>
    </row>
    <row r="594" spans="1:5" ht="13.5" customHeight="1">
      <c r="A594" s="20" t="s">
        <v>1693</v>
      </c>
      <c r="B594" s="32" t="s">
        <v>1694</v>
      </c>
      <c r="C594" s="2" t="s">
        <v>1695</v>
      </c>
      <c r="D594" s="3">
        <v>1</v>
      </c>
      <c r="E594" s="8" t="s">
        <v>15</v>
      </c>
    </row>
    <row r="595" spans="1:5" ht="13.5" customHeight="1">
      <c r="A595" s="20" t="s">
        <v>1696</v>
      </c>
      <c r="B595" s="32" t="s">
        <v>1697</v>
      </c>
      <c r="C595" s="2" t="s">
        <v>1698</v>
      </c>
      <c r="D595" s="3">
        <v>1</v>
      </c>
      <c r="E595" s="8" t="s">
        <v>15</v>
      </c>
    </row>
    <row r="596" spans="1:5" ht="13.5" customHeight="1">
      <c r="A596" s="20" t="s">
        <v>1699</v>
      </c>
      <c r="B596" s="32" t="s">
        <v>1700</v>
      </c>
      <c r="C596" s="2" t="s">
        <v>1701</v>
      </c>
      <c r="D596" s="3">
        <v>1</v>
      </c>
      <c r="E596" s="2" t="s">
        <v>1702</v>
      </c>
    </row>
    <row r="597" spans="1:5" ht="13.5" customHeight="1">
      <c r="A597" s="20" t="s">
        <v>1703</v>
      </c>
      <c r="B597" s="32" t="s">
        <v>1704</v>
      </c>
      <c r="C597" s="2" t="s">
        <v>1705</v>
      </c>
      <c r="D597" s="3">
        <v>1</v>
      </c>
      <c r="E597" s="2" t="s">
        <v>15</v>
      </c>
    </row>
    <row r="598" spans="1:5" ht="13.5" customHeight="1">
      <c r="A598" s="20" t="s">
        <v>1706</v>
      </c>
      <c r="B598" s="32" t="s">
        <v>1707</v>
      </c>
      <c r="C598" s="2" t="s">
        <v>1708</v>
      </c>
      <c r="D598" s="3">
        <v>1</v>
      </c>
      <c r="E598" s="2" t="s">
        <v>1702</v>
      </c>
    </row>
    <row r="599" spans="1:5" ht="13.5" customHeight="1">
      <c r="A599" s="20" t="s">
        <v>1709</v>
      </c>
      <c r="B599" s="32" t="s">
        <v>1710</v>
      </c>
      <c r="C599" s="2" t="s">
        <v>1711</v>
      </c>
      <c r="D599" s="3">
        <v>1</v>
      </c>
      <c r="E599" s="2" t="s">
        <v>1702</v>
      </c>
    </row>
    <row r="600" spans="1:5" ht="13.5" customHeight="1">
      <c r="A600" s="20" t="s">
        <v>1712</v>
      </c>
      <c r="B600" s="32" t="s">
        <v>1713</v>
      </c>
      <c r="C600" s="2" t="s">
        <v>1714</v>
      </c>
      <c r="D600" s="3">
        <v>1</v>
      </c>
      <c r="E600" s="2" t="s">
        <v>1702</v>
      </c>
    </row>
    <row r="601" spans="1:5" ht="13.5" customHeight="1">
      <c r="A601" s="20" t="s">
        <v>1715</v>
      </c>
      <c r="B601" s="32" t="s">
        <v>1716</v>
      </c>
      <c r="C601" s="2" t="s">
        <v>1717</v>
      </c>
      <c r="D601" s="3">
        <v>1</v>
      </c>
      <c r="E601" s="8" t="s">
        <v>15</v>
      </c>
    </row>
    <row r="602" spans="1:5" ht="13.5" customHeight="1">
      <c r="A602" s="20" t="s">
        <v>1718</v>
      </c>
      <c r="B602" s="32" t="s">
        <v>1719</v>
      </c>
      <c r="C602" s="2" t="s">
        <v>1720</v>
      </c>
      <c r="D602" s="3">
        <v>1</v>
      </c>
      <c r="E602" s="8" t="s">
        <v>15</v>
      </c>
    </row>
    <row r="603" spans="1:5" ht="13.5" customHeight="1">
      <c r="A603" s="20" t="s">
        <v>1721</v>
      </c>
      <c r="B603" s="32" t="s">
        <v>1722</v>
      </c>
      <c r="C603" s="2" t="s">
        <v>1723</v>
      </c>
      <c r="D603" s="3">
        <v>1</v>
      </c>
      <c r="E603" s="8" t="s">
        <v>15</v>
      </c>
    </row>
    <row r="604" spans="1:5" ht="13.5" customHeight="1">
      <c r="A604" s="20" t="s">
        <v>1724</v>
      </c>
      <c r="B604" s="32" t="s">
        <v>1725</v>
      </c>
      <c r="C604" s="2" t="s">
        <v>1726</v>
      </c>
      <c r="D604" s="3">
        <v>1</v>
      </c>
      <c r="E604" s="8" t="s">
        <v>15</v>
      </c>
    </row>
    <row r="605" spans="1:5" ht="13.5" customHeight="1">
      <c r="A605" s="20" t="s">
        <v>1727</v>
      </c>
      <c r="B605" s="32" t="s">
        <v>1728</v>
      </c>
      <c r="C605" s="2" t="s">
        <v>1729</v>
      </c>
      <c r="D605" s="3">
        <v>1</v>
      </c>
      <c r="E605" s="8" t="s">
        <v>15</v>
      </c>
    </row>
    <row r="606" spans="1:5" ht="13.5" customHeight="1">
      <c r="A606" s="20" t="s">
        <v>1730</v>
      </c>
      <c r="B606" s="32" t="s">
        <v>1731</v>
      </c>
      <c r="C606" s="2" t="s">
        <v>1732</v>
      </c>
      <c r="D606" s="3">
        <v>1</v>
      </c>
      <c r="E606" s="8" t="s">
        <v>15</v>
      </c>
    </row>
    <row r="607" spans="1:5" ht="13.5" customHeight="1">
      <c r="A607" s="20" t="s">
        <v>1733</v>
      </c>
      <c r="B607" s="32" t="s">
        <v>1734</v>
      </c>
      <c r="C607" s="2" t="s">
        <v>1735</v>
      </c>
      <c r="D607" s="3">
        <v>1</v>
      </c>
      <c r="E607" s="2" t="s">
        <v>15</v>
      </c>
    </row>
    <row r="608" spans="1:5" ht="13.5" customHeight="1">
      <c r="A608" s="20" t="s">
        <v>1736</v>
      </c>
      <c r="B608" s="32" t="s">
        <v>1737</v>
      </c>
      <c r="C608" s="2" t="s">
        <v>1738</v>
      </c>
      <c r="D608" s="3">
        <v>1</v>
      </c>
      <c r="E608" s="2" t="s">
        <v>15</v>
      </c>
    </row>
    <row r="609" spans="1:5" ht="13.5" customHeight="1">
      <c r="A609" s="20" t="s">
        <v>1739</v>
      </c>
      <c r="B609" s="32" t="s">
        <v>1740</v>
      </c>
      <c r="C609" s="2" t="s">
        <v>1741</v>
      </c>
      <c r="D609" s="3">
        <v>1</v>
      </c>
      <c r="E609" s="2" t="s">
        <v>15</v>
      </c>
    </row>
    <row r="610" spans="1:5" ht="13.5" customHeight="1">
      <c r="A610" s="20" t="s">
        <v>1742</v>
      </c>
      <c r="B610" s="32" t="s">
        <v>1743</v>
      </c>
      <c r="C610" s="2" t="s">
        <v>1744</v>
      </c>
      <c r="D610" s="3">
        <v>1</v>
      </c>
      <c r="E610" s="2" t="s">
        <v>15</v>
      </c>
    </row>
    <row r="611" spans="1:5" ht="13.5" customHeight="1">
      <c r="A611" s="20" t="s">
        <v>1745</v>
      </c>
      <c r="B611" s="32" t="s">
        <v>1746</v>
      </c>
      <c r="C611" s="2" t="s">
        <v>1747</v>
      </c>
      <c r="D611" s="3">
        <v>1</v>
      </c>
      <c r="E611" s="2" t="s">
        <v>15</v>
      </c>
    </row>
    <row r="612" spans="1:5" ht="13.5" customHeight="1">
      <c r="A612" s="20" t="s">
        <v>1748</v>
      </c>
      <c r="B612" s="32" t="s">
        <v>1749</v>
      </c>
      <c r="C612" s="2" t="s">
        <v>1750</v>
      </c>
      <c r="D612" s="3">
        <v>1</v>
      </c>
      <c r="E612" s="2" t="s">
        <v>15</v>
      </c>
    </row>
    <row r="613" spans="1:5" ht="13.5" customHeight="1">
      <c r="A613" s="20" t="s">
        <v>1751</v>
      </c>
      <c r="B613" s="32" t="s">
        <v>1752</v>
      </c>
      <c r="C613" s="2" t="s">
        <v>1753</v>
      </c>
      <c r="D613" s="3">
        <v>1</v>
      </c>
      <c r="E613" s="2" t="s">
        <v>15</v>
      </c>
    </row>
    <row r="614" spans="1:5" ht="13.5" customHeight="1">
      <c r="A614" s="20" t="s">
        <v>1754</v>
      </c>
      <c r="B614" s="32" t="s">
        <v>1755</v>
      </c>
      <c r="C614" s="2" t="s">
        <v>1756</v>
      </c>
      <c r="D614" s="3">
        <v>1</v>
      </c>
      <c r="E614" s="2" t="s">
        <v>15</v>
      </c>
    </row>
    <row r="615" spans="1:5" ht="13.5" customHeight="1">
      <c r="A615" s="20" t="s">
        <v>1757</v>
      </c>
      <c r="B615" s="32" t="s">
        <v>1758</v>
      </c>
      <c r="C615" s="2" t="s">
        <v>1759</v>
      </c>
      <c r="D615" s="3">
        <v>1</v>
      </c>
      <c r="E615" s="2" t="s">
        <v>15</v>
      </c>
    </row>
    <row r="616" spans="1:5" ht="13.5" customHeight="1">
      <c r="A616" s="20" t="s">
        <v>1760</v>
      </c>
      <c r="B616" s="32" t="s">
        <v>1761</v>
      </c>
      <c r="C616" s="2" t="s">
        <v>1762</v>
      </c>
      <c r="D616" s="3">
        <v>1</v>
      </c>
      <c r="E616" s="2" t="s">
        <v>15</v>
      </c>
    </row>
    <row r="617" spans="1:5" ht="13.5" customHeight="1">
      <c r="A617" s="20" t="s">
        <v>1763</v>
      </c>
      <c r="B617" s="32" t="s">
        <v>1764</v>
      </c>
      <c r="C617" s="2" t="s">
        <v>1765</v>
      </c>
      <c r="D617" s="3">
        <v>1</v>
      </c>
      <c r="E617" s="2" t="s">
        <v>15</v>
      </c>
    </row>
    <row r="618" spans="1:5" ht="13.5" customHeight="1">
      <c r="A618" s="20" t="s">
        <v>1766</v>
      </c>
      <c r="B618" s="32" t="s">
        <v>1767</v>
      </c>
      <c r="C618" s="2" t="s">
        <v>1768</v>
      </c>
      <c r="D618" s="3">
        <v>1</v>
      </c>
      <c r="E618" s="2" t="s">
        <v>15</v>
      </c>
    </row>
    <row r="619" spans="1:5" ht="13.5" customHeight="1">
      <c r="A619" s="20" t="s">
        <v>1769</v>
      </c>
      <c r="B619" s="32" t="s">
        <v>1770</v>
      </c>
      <c r="C619" s="2" t="s">
        <v>1771</v>
      </c>
      <c r="D619" s="3">
        <v>1</v>
      </c>
      <c r="E619" s="2" t="s">
        <v>15</v>
      </c>
    </row>
    <row r="620" spans="1:5" ht="13.5" customHeight="1">
      <c r="A620" s="20" t="s">
        <v>1772</v>
      </c>
      <c r="B620" s="32" t="s">
        <v>1773</v>
      </c>
      <c r="C620" s="2" t="s">
        <v>1774</v>
      </c>
      <c r="D620" s="3">
        <v>1</v>
      </c>
      <c r="E620" s="2" t="s">
        <v>15</v>
      </c>
    </row>
    <row r="621" spans="1:5" ht="13.5" customHeight="1">
      <c r="A621" s="20" t="s">
        <v>1775</v>
      </c>
      <c r="B621" s="32" t="s">
        <v>1776</v>
      </c>
      <c r="C621" s="2" t="s">
        <v>1777</v>
      </c>
      <c r="D621" s="3">
        <v>1</v>
      </c>
      <c r="E621" s="2" t="s">
        <v>15</v>
      </c>
    </row>
    <row r="622" spans="1:5" ht="13.5" customHeight="1">
      <c r="A622" s="20" t="s">
        <v>1778</v>
      </c>
      <c r="B622" s="32" t="s">
        <v>1779</v>
      </c>
      <c r="C622" s="2" t="s">
        <v>1780</v>
      </c>
      <c r="D622" s="3">
        <v>1</v>
      </c>
      <c r="E622" s="2" t="s">
        <v>15</v>
      </c>
    </row>
    <row r="623" spans="1:5" ht="13.5" customHeight="1">
      <c r="A623" s="20" t="s">
        <v>1781</v>
      </c>
      <c r="B623" s="32" t="s">
        <v>1782</v>
      </c>
      <c r="C623" s="2" t="s">
        <v>1783</v>
      </c>
      <c r="D623" s="3">
        <v>1</v>
      </c>
      <c r="E623" s="2" t="s">
        <v>15</v>
      </c>
    </row>
    <row r="624" spans="1:5" ht="13.5" customHeight="1">
      <c r="A624" s="20" t="s">
        <v>1784</v>
      </c>
      <c r="B624" s="32" t="s">
        <v>1785</v>
      </c>
      <c r="C624" s="2" t="s">
        <v>1786</v>
      </c>
      <c r="D624" s="3">
        <v>1</v>
      </c>
      <c r="E624" s="2" t="s">
        <v>15</v>
      </c>
    </row>
    <row r="625" spans="1:5" ht="13.5" customHeight="1">
      <c r="A625" s="20" t="s">
        <v>1787</v>
      </c>
      <c r="B625" s="32" t="s">
        <v>1788</v>
      </c>
      <c r="C625" s="2" t="s">
        <v>1789</v>
      </c>
      <c r="D625" s="3">
        <v>1</v>
      </c>
      <c r="E625" s="2" t="s">
        <v>15</v>
      </c>
    </row>
    <row r="626" spans="1:5" ht="13.5" customHeight="1">
      <c r="A626" s="20" t="s">
        <v>1790</v>
      </c>
      <c r="B626" s="32" t="s">
        <v>1791</v>
      </c>
      <c r="C626" s="2" t="s">
        <v>1792</v>
      </c>
      <c r="D626" s="3">
        <v>1</v>
      </c>
      <c r="E626" s="2" t="s">
        <v>15</v>
      </c>
    </row>
    <row r="627" spans="1:5" ht="13.5" customHeight="1">
      <c r="A627" s="20" t="s">
        <v>1793</v>
      </c>
      <c r="B627" s="32" t="s">
        <v>1794</v>
      </c>
      <c r="C627" s="2" t="s">
        <v>1795</v>
      </c>
      <c r="D627" s="3">
        <v>1</v>
      </c>
      <c r="E627" s="2" t="s">
        <v>15</v>
      </c>
    </row>
    <row r="628" spans="1:5" ht="13.5" customHeight="1">
      <c r="A628" s="20" t="s">
        <v>1796</v>
      </c>
      <c r="B628" s="32" t="s">
        <v>1797</v>
      </c>
      <c r="C628" s="2" t="s">
        <v>1798</v>
      </c>
      <c r="D628" s="3">
        <v>1</v>
      </c>
      <c r="E628" s="2" t="s">
        <v>15</v>
      </c>
    </row>
    <row r="629" spans="1:5" ht="13.5" customHeight="1">
      <c r="A629" s="20" t="s">
        <v>1799</v>
      </c>
      <c r="B629" s="32" t="s">
        <v>1800</v>
      </c>
      <c r="C629" s="2" t="s">
        <v>1801</v>
      </c>
      <c r="D629" s="3">
        <v>1</v>
      </c>
      <c r="E629" s="2" t="s">
        <v>15</v>
      </c>
    </row>
    <row r="630" spans="1:5" ht="13.5" customHeight="1">
      <c r="A630" s="20" t="s">
        <v>1802</v>
      </c>
      <c r="B630" s="32" t="s">
        <v>1803</v>
      </c>
      <c r="C630" s="2" t="s">
        <v>1804</v>
      </c>
      <c r="D630" s="3">
        <v>1</v>
      </c>
      <c r="E630" s="2" t="s">
        <v>15</v>
      </c>
    </row>
    <row r="631" spans="1:5" ht="13.5" customHeight="1">
      <c r="A631" s="20" t="s">
        <v>1805</v>
      </c>
      <c r="B631" s="32" t="s">
        <v>1806</v>
      </c>
      <c r="C631" s="2" t="s">
        <v>1807</v>
      </c>
      <c r="D631" s="3">
        <v>1</v>
      </c>
      <c r="E631" s="2" t="s">
        <v>15</v>
      </c>
    </row>
    <row r="632" spans="1:5" ht="13.5" customHeight="1">
      <c r="A632" s="20" t="s">
        <v>1808</v>
      </c>
      <c r="B632" s="32" t="s">
        <v>1809</v>
      </c>
      <c r="C632" s="2" t="s">
        <v>1810</v>
      </c>
      <c r="D632" s="3">
        <v>1</v>
      </c>
      <c r="E632" s="2" t="s">
        <v>15</v>
      </c>
    </row>
    <row r="633" spans="1:5" ht="13.5" customHeight="1">
      <c r="A633" s="20" t="s">
        <v>1811</v>
      </c>
      <c r="B633" s="32" t="s">
        <v>1812</v>
      </c>
      <c r="C633" s="2" t="s">
        <v>1813</v>
      </c>
      <c r="D633" s="3">
        <v>1</v>
      </c>
      <c r="E633" s="2" t="s">
        <v>15</v>
      </c>
    </row>
    <row r="634" spans="1:5" ht="13.5" customHeight="1">
      <c r="A634" s="20" t="s">
        <v>1814</v>
      </c>
      <c r="B634" s="32" t="s">
        <v>1815</v>
      </c>
      <c r="C634" s="2" t="s">
        <v>1816</v>
      </c>
      <c r="D634" s="3">
        <v>1</v>
      </c>
      <c r="E634" s="2" t="s">
        <v>15</v>
      </c>
    </row>
    <row r="635" spans="1:5" ht="13.5" customHeight="1">
      <c r="A635" s="20" t="s">
        <v>1817</v>
      </c>
      <c r="B635" s="32" t="s">
        <v>1818</v>
      </c>
      <c r="C635" s="2" t="s">
        <v>1819</v>
      </c>
      <c r="D635" s="3">
        <v>1</v>
      </c>
      <c r="E635" s="2" t="s">
        <v>15</v>
      </c>
    </row>
    <row r="636" spans="1:5" ht="13.5" customHeight="1">
      <c r="A636" s="20" t="s">
        <v>1820</v>
      </c>
      <c r="B636" s="32" t="s">
        <v>1821</v>
      </c>
      <c r="C636" s="2" t="s">
        <v>1822</v>
      </c>
      <c r="D636" s="3">
        <v>1</v>
      </c>
      <c r="E636" s="2" t="s">
        <v>15</v>
      </c>
    </row>
    <row r="637" spans="1:5" ht="13.5" customHeight="1">
      <c r="A637" s="20" t="s">
        <v>1823</v>
      </c>
      <c r="B637" s="32" t="s">
        <v>1824</v>
      </c>
      <c r="C637" s="2" t="s">
        <v>1825</v>
      </c>
      <c r="D637" s="3">
        <v>1</v>
      </c>
      <c r="E637" s="2" t="s">
        <v>15</v>
      </c>
    </row>
    <row r="638" spans="1:5" ht="13.5" customHeight="1">
      <c r="A638" s="20" t="s">
        <v>1826</v>
      </c>
      <c r="B638" s="32" t="s">
        <v>1827</v>
      </c>
      <c r="C638" s="2" t="s">
        <v>1828</v>
      </c>
      <c r="D638" s="3">
        <v>1</v>
      </c>
      <c r="E638" s="2" t="s">
        <v>15</v>
      </c>
    </row>
    <row r="639" spans="1:5" ht="13.5" customHeight="1">
      <c r="A639" s="20" t="s">
        <v>1829</v>
      </c>
      <c r="B639" s="32" t="s">
        <v>1830</v>
      </c>
      <c r="C639" s="2" t="s">
        <v>1831</v>
      </c>
      <c r="D639" s="3">
        <v>1</v>
      </c>
      <c r="E639" s="2" t="s">
        <v>15</v>
      </c>
    </row>
    <row r="640" spans="1:5" ht="13.5" customHeight="1">
      <c r="A640" s="20" t="s">
        <v>1832</v>
      </c>
      <c r="B640" s="32" t="s">
        <v>1833</v>
      </c>
      <c r="C640" s="2" t="s">
        <v>1834</v>
      </c>
      <c r="D640" s="3">
        <v>1</v>
      </c>
      <c r="E640" s="2" t="s">
        <v>15</v>
      </c>
    </row>
    <row r="641" spans="1:5" ht="13.5" customHeight="1">
      <c r="A641" s="20" t="s">
        <v>1835</v>
      </c>
      <c r="B641" s="32" t="s">
        <v>1836</v>
      </c>
      <c r="C641" s="2" t="s">
        <v>1837</v>
      </c>
      <c r="D641" s="3">
        <v>1</v>
      </c>
      <c r="E641" s="2" t="s">
        <v>15</v>
      </c>
    </row>
    <row r="642" spans="1:5" ht="13.5" customHeight="1">
      <c r="A642" s="20" t="s">
        <v>1838</v>
      </c>
      <c r="B642" s="32" t="s">
        <v>1839</v>
      </c>
      <c r="C642" s="2" t="s">
        <v>1840</v>
      </c>
      <c r="D642" s="3">
        <v>1</v>
      </c>
      <c r="E642" s="2" t="s">
        <v>15</v>
      </c>
    </row>
    <row r="643" spans="1:5" ht="13.5" customHeight="1">
      <c r="A643" s="20" t="s">
        <v>1841</v>
      </c>
      <c r="B643" s="32" t="s">
        <v>1842</v>
      </c>
      <c r="C643" s="2" t="s">
        <v>1843</v>
      </c>
      <c r="D643" s="3">
        <v>1</v>
      </c>
      <c r="E643" s="2" t="s">
        <v>15</v>
      </c>
    </row>
    <row r="644" spans="1:5" ht="13.5" customHeight="1">
      <c r="A644" s="20" t="s">
        <v>1844</v>
      </c>
      <c r="B644" s="32" t="s">
        <v>1845</v>
      </c>
      <c r="C644" s="2" t="s">
        <v>1846</v>
      </c>
      <c r="D644" s="3">
        <v>1</v>
      </c>
      <c r="E644" s="2" t="s">
        <v>15</v>
      </c>
    </row>
    <row r="645" spans="1:5" ht="13.5" customHeight="1">
      <c r="A645" s="20" t="s">
        <v>1847</v>
      </c>
      <c r="B645" s="32" t="s">
        <v>1848</v>
      </c>
      <c r="C645" s="2" t="s">
        <v>1849</v>
      </c>
      <c r="D645" s="3">
        <v>1</v>
      </c>
      <c r="E645" s="2" t="s">
        <v>15</v>
      </c>
    </row>
    <row r="646" spans="1:5" ht="13.5" customHeight="1">
      <c r="A646" s="20" t="s">
        <v>1850</v>
      </c>
      <c r="B646" s="32" t="s">
        <v>1851</v>
      </c>
      <c r="C646" s="2" t="s">
        <v>1852</v>
      </c>
      <c r="D646" s="3">
        <v>1</v>
      </c>
      <c r="E646" s="2" t="s">
        <v>15</v>
      </c>
    </row>
    <row r="647" spans="1:5" ht="13.5" customHeight="1">
      <c r="A647" s="20" t="s">
        <v>1853</v>
      </c>
      <c r="B647" s="32" t="s">
        <v>1854</v>
      </c>
      <c r="C647" s="2" t="s">
        <v>1855</v>
      </c>
      <c r="D647" s="3">
        <v>1</v>
      </c>
      <c r="E647" s="2" t="s">
        <v>15</v>
      </c>
    </row>
    <row r="648" spans="1:5" ht="13.5" customHeight="1">
      <c r="A648" s="20" t="s">
        <v>1856</v>
      </c>
      <c r="B648" s="32" t="s">
        <v>1857</v>
      </c>
      <c r="C648" s="2" t="s">
        <v>1858</v>
      </c>
      <c r="D648" s="3">
        <v>1</v>
      </c>
      <c r="E648" s="2" t="s">
        <v>15</v>
      </c>
    </row>
    <row r="649" spans="1:5" ht="13.5" customHeight="1">
      <c r="A649" s="20" t="s">
        <v>1859</v>
      </c>
      <c r="B649" s="32" t="s">
        <v>1860</v>
      </c>
      <c r="C649" s="2" t="s">
        <v>1861</v>
      </c>
      <c r="D649" s="3">
        <v>1</v>
      </c>
      <c r="E649" s="4"/>
    </row>
    <row r="650" spans="1:5" ht="13.5" customHeight="1">
      <c r="A650" s="20" t="s">
        <v>1862</v>
      </c>
      <c r="B650" s="32" t="s">
        <v>1863</v>
      </c>
      <c r="C650" s="2" t="s">
        <v>1864</v>
      </c>
      <c r="D650" s="3">
        <v>1</v>
      </c>
      <c r="E650" s="4"/>
    </row>
    <row r="651" spans="1:5" ht="13.5" customHeight="1">
      <c r="A651" s="20" t="s">
        <v>1865</v>
      </c>
      <c r="B651" s="32"/>
      <c r="C651" s="2" t="s">
        <v>1866</v>
      </c>
      <c r="D651" s="3">
        <v>1</v>
      </c>
      <c r="E651" s="4"/>
    </row>
    <row r="652" spans="1:5" ht="13.5" customHeight="1">
      <c r="A652" s="20" t="s">
        <v>1867</v>
      </c>
      <c r="B652" s="32" t="s">
        <v>1868</v>
      </c>
      <c r="C652" s="2" t="s">
        <v>1869</v>
      </c>
      <c r="D652" s="3">
        <v>1</v>
      </c>
      <c r="E652" s="4"/>
    </row>
    <row r="653" spans="1:5" ht="13.5" customHeight="1">
      <c r="A653" s="20" t="s">
        <v>1870</v>
      </c>
      <c r="B653" s="32" t="s">
        <v>1871</v>
      </c>
      <c r="C653" s="2" t="s">
        <v>1872</v>
      </c>
      <c r="D653" s="3">
        <v>1</v>
      </c>
      <c r="E653" s="4"/>
    </row>
    <row r="654" spans="1:5" ht="13.5" customHeight="1">
      <c r="A654" s="20" t="s">
        <v>1873</v>
      </c>
      <c r="B654" s="32" t="s">
        <v>1874</v>
      </c>
      <c r="C654" s="2" t="s">
        <v>1875</v>
      </c>
      <c r="D654" s="3">
        <v>1</v>
      </c>
      <c r="E654" s="4"/>
    </row>
    <row r="655" spans="1:5" ht="13.5" customHeight="1">
      <c r="A655" s="20" t="s">
        <v>1876</v>
      </c>
      <c r="B655" s="32" t="s">
        <v>1877</v>
      </c>
      <c r="C655" s="2" t="s">
        <v>1878</v>
      </c>
      <c r="D655" s="3">
        <v>1</v>
      </c>
      <c r="E655" s="4"/>
    </row>
    <row r="656" spans="1:5" ht="13.5" customHeight="1">
      <c r="A656" s="20" t="s">
        <v>1879</v>
      </c>
      <c r="B656" s="32" t="s">
        <v>1880</v>
      </c>
      <c r="C656" s="2" t="s">
        <v>1881</v>
      </c>
      <c r="D656" s="3">
        <v>1</v>
      </c>
      <c r="E656" s="4"/>
    </row>
    <row r="657" spans="1:5" ht="13.5" customHeight="1">
      <c r="A657" s="20" t="s">
        <v>1882</v>
      </c>
      <c r="B657" s="32" t="s">
        <v>1883</v>
      </c>
      <c r="C657" s="2" t="s">
        <v>1884</v>
      </c>
      <c r="D657" s="3">
        <v>1</v>
      </c>
      <c r="E657" s="4"/>
    </row>
    <row r="658" spans="1:5" ht="13.5" customHeight="1">
      <c r="A658" s="20" t="s">
        <v>1885</v>
      </c>
      <c r="B658" s="32" t="s">
        <v>1886</v>
      </c>
      <c r="C658" s="2" t="s">
        <v>1887</v>
      </c>
      <c r="D658" s="3">
        <v>1</v>
      </c>
      <c r="E658" s="4"/>
    </row>
    <row r="659" spans="1:5" ht="13.5" customHeight="1">
      <c r="A659" s="20" t="s">
        <v>1888</v>
      </c>
      <c r="B659" s="32" t="s">
        <v>1889</v>
      </c>
      <c r="C659" s="2" t="s">
        <v>1890</v>
      </c>
      <c r="D659" s="3">
        <v>1</v>
      </c>
      <c r="E659" s="4"/>
    </row>
    <row r="660" spans="1:5" ht="13.5" customHeight="1">
      <c r="A660" s="20" t="s">
        <v>1891</v>
      </c>
      <c r="B660" s="32" t="s">
        <v>1892</v>
      </c>
      <c r="C660" s="2" t="s">
        <v>1893</v>
      </c>
      <c r="D660" s="3">
        <v>1</v>
      </c>
      <c r="E660" s="4"/>
    </row>
    <row r="661" spans="1:5" ht="13.5" customHeight="1">
      <c r="A661" s="20" t="s">
        <v>1894</v>
      </c>
      <c r="B661" s="32" t="s">
        <v>1895</v>
      </c>
      <c r="C661" s="2" t="s">
        <v>1896</v>
      </c>
      <c r="D661" s="3">
        <v>1</v>
      </c>
      <c r="E661" s="4"/>
    </row>
    <row r="662" spans="1:5" ht="13.5" customHeight="1">
      <c r="A662" s="20" t="s">
        <v>1897</v>
      </c>
      <c r="B662" s="32" t="s">
        <v>1898</v>
      </c>
      <c r="C662" s="2" t="s">
        <v>1899</v>
      </c>
      <c r="D662" s="3">
        <v>1</v>
      </c>
      <c r="E662" s="4"/>
    </row>
    <row r="663" spans="1:5" ht="13.5" customHeight="1">
      <c r="A663" s="20" t="s">
        <v>1900</v>
      </c>
      <c r="B663" s="32" t="s">
        <v>1901</v>
      </c>
      <c r="C663" s="2" t="s">
        <v>1902</v>
      </c>
      <c r="D663" s="3">
        <v>1</v>
      </c>
      <c r="E663" s="4"/>
    </row>
    <row r="664" spans="1:5" ht="13.5" customHeight="1">
      <c r="A664" s="20" t="s">
        <v>1903</v>
      </c>
      <c r="B664" s="32" t="s">
        <v>1904</v>
      </c>
      <c r="C664" s="2" t="s">
        <v>1905</v>
      </c>
      <c r="D664" s="3">
        <v>1</v>
      </c>
      <c r="E664" s="4"/>
    </row>
    <row r="665" spans="1:5">
      <c r="A665" s="20" t="s">
        <v>1906</v>
      </c>
      <c r="B665" s="32" t="s">
        <v>1907</v>
      </c>
      <c r="C665" s="2" t="s">
        <v>1908</v>
      </c>
      <c r="D665" s="3">
        <v>1</v>
      </c>
      <c r="E665" s="4"/>
    </row>
    <row r="666" spans="1:5" ht="22.5">
      <c r="A666" s="20" t="s">
        <v>1909</v>
      </c>
      <c r="B666" s="32" t="s">
        <v>1910</v>
      </c>
      <c r="C666" s="2" t="s">
        <v>1911</v>
      </c>
      <c r="D666" s="3">
        <v>1</v>
      </c>
      <c r="E666" s="4"/>
    </row>
    <row r="667" spans="1:5">
      <c r="A667" s="20" t="s">
        <v>1912</v>
      </c>
      <c r="B667" s="32" t="s">
        <v>1913</v>
      </c>
      <c r="C667" s="2" t="s">
        <v>1914</v>
      </c>
      <c r="D667" s="3">
        <v>1</v>
      </c>
      <c r="E667" s="4"/>
    </row>
    <row r="668" spans="1:5">
      <c r="A668" s="20" t="s">
        <v>1915</v>
      </c>
      <c r="B668" s="32" t="s">
        <v>1916</v>
      </c>
      <c r="C668" s="2" t="s">
        <v>1917</v>
      </c>
      <c r="D668" s="3">
        <v>1</v>
      </c>
      <c r="E668" s="4"/>
    </row>
    <row r="669" spans="1:5">
      <c r="A669" s="20" t="s">
        <v>1918</v>
      </c>
      <c r="B669" s="32" t="s">
        <v>1919</v>
      </c>
      <c r="C669" s="2" t="s">
        <v>1920</v>
      </c>
      <c r="D669" s="3">
        <v>1</v>
      </c>
      <c r="E669" s="4"/>
    </row>
    <row r="670" spans="1:5">
      <c r="A670" s="20" t="s">
        <v>1921</v>
      </c>
      <c r="B670" s="32" t="s">
        <v>1922</v>
      </c>
      <c r="C670" s="2" t="s">
        <v>1923</v>
      </c>
      <c r="D670" s="3">
        <v>1</v>
      </c>
      <c r="E670" s="4"/>
    </row>
    <row r="671" spans="1:5">
      <c r="A671" s="20" t="s">
        <v>1924</v>
      </c>
      <c r="B671" s="32" t="s">
        <v>1925</v>
      </c>
      <c r="C671" s="2" t="s">
        <v>1926</v>
      </c>
      <c r="D671" s="3">
        <v>1</v>
      </c>
      <c r="E671" s="4"/>
    </row>
    <row r="672" spans="1:5">
      <c r="A672" s="20" t="s">
        <v>1927</v>
      </c>
      <c r="B672" s="32" t="s">
        <v>1928</v>
      </c>
      <c r="C672" s="2" t="s">
        <v>1929</v>
      </c>
      <c r="D672" s="3">
        <v>1</v>
      </c>
      <c r="E672" s="4"/>
    </row>
    <row r="673" spans="1:5">
      <c r="A673" s="20" t="s">
        <v>1930</v>
      </c>
      <c r="B673" s="32" t="s">
        <v>1931</v>
      </c>
      <c r="C673" s="2" t="s">
        <v>1932</v>
      </c>
      <c r="D673" s="3">
        <v>1</v>
      </c>
      <c r="E673" s="4"/>
    </row>
    <row r="674" spans="1:5" ht="22.5">
      <c r="A674" s="20" t="s">
        <v>1933</v>
      </c>
      <c r="B674" s="32" t="s">
        <v>1934</v>
      </c>
      <c r="C674" s="2" t="s">
        <v>1935</v>
      </c>
      <c r="D674" s="3">
        <v>1</v>
      </c>
      <c r="E674" s="4"/>
    </row>
    <row r="675" spans="1:5">
      <c r="A675" s="20" t="s">
        <v>1936</v>
      </c>
      <c r="B675" s="32" t="s">
        <v>1937</v>
      </c>
      <c r="C675" s="2" t="s">
        <v>1938</v>
      </c>
      <c r="D675" s="3">
        <v>1</v>
      </c>
      <c r="E675" s="4"/>
    </row>
    <row r="676" spans="1:5" ht="22.5">
      <c r="A676" s="20" t="s">
        <v>1939</v>
      </c>
      <c r="B676" s="32" t="s">
        <v>1940</v>
      </c>
      <c r="C676" s="2" t="s">
        <v>1941</v>
      </c>
      <c r="D676" s="3">
        <v>1</v>
      </c>
      <c r="E676" s="4"/>
    </row>
    <row r="677" spans="1:5">
      <c r="A677" s="20" t="s">
        <v>1942</v>
      </c>
      <c r="B677" s="32" t="s">
        <v>1943</v>
      </c>
      <c r="C677" s="2" t="s">
        <v>1944</v>
      </c>
      <c r="D677" s="3">
        <v>1</v>
      </c>
      <c r="E677" s="4"/>
    </row>
    <row r="678" spans="1:5">
      <c r="A678" s="20" t="s">
        <v>1945</v>
      </c>
      <c r="B678" s="32" t="s">
        <v>1946</v>
      </c>
      <c r="C678" s="2" t="s">
        <v>1947</v>
      </c>
      <c r="D678" s="3">
        <v>1</v>
      </c>
      <c r="E678" s="4"/>
    </row>
    <row r="679" spans="1:5">
      <c r="A679" s="20" t="s">
        <v>1948</v>
      </c>
      <c r="B679" s="32" t="s">
        <v>1949</v>
      </c>
      <c r="C679" s="2" t="s">
        <v>1950</v>
      </c>
      <c r="D679" s="3">
        <v>1</v>
      </c>
      <c r="E679" s="4"/>
    </row>
    <row r="680" spans="1:5">
      <c r="A680" s="20" t="s">
        <v>1951</v>
      </c>
      <c r="B680" s="32" t="s">
        <v>1952</v>
      </c>
      <c r="C680" s="2" t="s">
        <v>1953</v>
      </c>
      <c r="D680" s="3">
        <v>1</v>
      </c>
      <c r="E680" s="4"/>
    </row>
    <row r="681" spans="1:5">
      <c r="A681" s="20" t="s">
        <v>1954</v>
      </c>
      <c r="B681" s="32" t="s">
        <v>1955</v>
      </c>
      <c r="C681" s="2" t="s">
        <v>1956</v>
      </c>
      <c r="D681" s="3">
        <v>1</v>
      </c>
      <c r="E681" s="4"/>
    </row>
    <row r="682" spans="1:5">
      <c r="A682" s="20" t="s">
        <v>1957</v>
      </c>
      <c r="B682" s="32" t="s">
        <v>1958</v>
      </c>
      <c r="C682" s="2" t="s">
        <v>1959</v>
      </c>
      <c r="D682" s="3">
        <v>1</v>
      </c>
      <c r="E682" s="4"/>
    </row>
    <row r="683" spans="1:5">
      <c r="A683" s="20" t="s">
        <v>1960</v>
      </c>
      <c r="B683" s="32" t="s">
        <v>1961</v>
      </c>
      <c r="C683" s="2" t="s">
        <v>1962</v>
      </c>
      <c r="D683" s="3">
        <v>1</v>
      </c>
      <c r="E683" s="4"/>
    </row>
    <row r="684" spans="1:5">
      <c r="A684" s="20" t="s">
        <v>1963</v>
      </c>
      <c r="B684" s="32" t="s">
        <v>1964</v>
      </c>
      <c r="C684" s="2" t="s">
        <v>1965</v>
      </c>
      <c r="D684" s="3">
        <v>1</v>
      </c>
      <c r="E684" s="4"/>
    </row>
    <row r="685" spans="1:5">
      <c r="A685" s="20" t="s">
        <v>1966</v>
      </c>
      <c r="B685" s="32" t="s">
        <v>1967</v>
      </c>
      <c r="C685" s="2" t="s">
        <v>1968</v>
      </c>
      <c r="D685" s="3">
        <v>1</v>
      </c>
      <c r="E685" s="4"/>
    </row>
    <row r="686" spans="1:5">
      <c r="A686" s="20" t="s">
        <v>1969</v>
      </c>
      <c r="B686" s="32" t="s">
        <v>1970</v>
      </c>
      <c r="C686" s="2" t="s">
        <v>1971</v>
      </c>
      <c r="D686" s="3">
        <v>1</v>
      </c>
      <c r="E686" s="4"/>
    </row>
    <row r="687" spans="1:5">
      <c r="A687" s="20" t="s">
        <v>1972</v>
      </c>
      <c r="B687" s="32" t="s">
        <v>1973</v>
      </c>
      <c r="C687" s="2" t="s">
        <v>1974</v>
      </c>
      <c r="D687" s="3">
        <v>1</v>
      </c>
      <c r="E687" s="4"/>
    </row>
    <row r="688" spans="1:5">
      <c r="A688" s="20" t="s">
        <v>1975</v>
      </c>
      <c r="B688" s="32" t="s">
        <v>1976</v>
      </c>
      <c r="C688" s="2" t="s">
        <v>1977</v>
      </c>
      <c r="D688" s="3"/>
      <c r="E688" s="4"/>
    </row>
    <row r="689" spans="1:5">
      <c r="A689" s="20" t="s">
        <v>1978</v>
      </c>
      <c r="B689" s="32" t="s">
        <v>1979</v>
      </c>
      <c r="C689" s="2" t="s">
        <v>1980</v>
      </c>
      <c r="D689" s="3"/>
      <c r="E689" s="4"/>
    </row>
    <row r="690" spans="1:5">
      <c r="A690" s="20" t="s">
        <v>1981</v>
      </c>
      <c r="B690" s="32" t="s">
        <v>1982</v>
      </c>
      <c r="C690" s="2" t="s">
        <v>1983</v>
      </c>
      <c r="D690" s="3"/>
      <c r="E690" s="4"/>
    </row>
    <row r="691" spans="1:5">
      <c r="A691" s="21" t="s">
        <v>1984</v>
      </c>
      <c r="B691" s="34" t="s">
        <v>1985</v>
      </c>
      <c r="C691" s="9" t="s">
        <v>1986</v>
      </c>
      <c r="D691" s="10">
        <v>1.3</v>
      </c>
      <c r="E691" s="9" t="s">
        <v>63</v>
      </c>
    </row>
    <row r="692" spans="1:5">
      <c r="A692" s="21" t="s">
        <v>1987</v>
      </c>
      <c r="B692" s="34" t="s">
        <v>1988</v>
      </c>
      <c r="C692" s="9" t="s">
        <v>1989</v>
      </c>
      <c r="D692" s="10">
        <v>1.9</v>
      </c>
      <c r="E692" s="9" t="s">
        <v>63</v>
      </c>
    </row>
    <row r="693" spans="1:5">
      <c r="A693" s="20" t="s">
        <v>1990</v>
      </c>
      <c r="B693" s="32" t="s">
        <v>1991</v>
      </c>
      <c r="C693" s="2" t="s">
        <v>1992</v>
      </c>
      <c r="D693" s="3"/>
      <c r="E693" s="4"/>
    </row>
    <row r="694" spans="1:5">
      <c r="A694" s="20" t="s">
        <v>1993</v>
      </c>
      <c r="B694" s="32" t="s">
        <v>1994</v>
      </c>
      <c r="C694" s="2" t="s">
        <v>1995</v>
      </c>
      <c r="D694" s="3">
        <v>0.22</v>
      </c>
      <c r="E694" s="4"/>
    </row>
    <row r="695" spans="1:5">
      <c r="A695" s="20" t="s">
        <v>1996</v>
      </c>
      <c r="B695" s="32" t="s">
        <v>1997</v>
      </c>
      <c r="C695" s="2" t="s">
        <v>1998</v>
      </c>
      <c r="D695" s="3"/>
      <c r="E695" s="4"/>
    </row>
    <row r="696" spans="1:5">
      <c r="A696" s="20" t="s">
        <v>1999</v>
      </c>
      <c r="B696" s="32" t="s">
        <v>2000</v>
      </c>
      <c r="C696" s="2" t="s">
        <v>2001</v>
      </c>
      <c r="D696" s="3">
        <v>0.3</v>
      </c>
      <c r="E696" s="4"/>
    </row>
    <row r="697" spans="1:5">
      <c r="A697" s="20" t="s">
        <v>2002</v>
      </c>
      <c r="B697" s="32" t="s">
        <v>2003</v>
      </c>
      <c r="C697" s="2" t="s">
        <v>2004</v>
      </c>
      <c r="D697" s="3">
        <v>0.3</v>
      </c>
      <c r="E697" s="4"/>
    </row>
    <row r="698" spans="1:5">
      <c r="A698" s="20" t="s">
        <v>2005</v>
      </c>
      <c r="B698" s="32" t="s">
        <v>2006</v>
      </c>
      <c r="C698" s="2" t="s">
        <v>2007</v>
      </c>
      <c r="D698" s="3"/>
      <c r="E698" s="4"/>
    </row>
    <row r="699" spans="1:5">
      <c r="A699" s="20" t="s">
        <v>2008</v>
      </c>
      <c r="B699" s="32" t="s">
        <v>2009</v>
      </c>
      <c r="C699" s="2" t="s">
        <v>2010</v>
      </c>
      <c r="D699" s="3">
        <v>0.3</v>
      </c>
      <c r="E699" s="4"/>
    </row>
    <row r="700" spans="1:5">
      <c r="A700" s="20" t="s">
        <v>2011</v>
      </c>
      <c r="B700" s="32" t="s">
        <v>2012</v>
      </c>
      <c r="C700" s="2" t="s">
        <v>2013</v>
      </c>
      <c r="D700" s="3">
        <v>0.3</v>
      </c>
      <c r="E700" s="4"/>
    </row>
    <row r="701" spans="1:5">
      <c r="A701" s="20" t="s">
        <v>2014</v>
      </c>
      <c r="B701" s="32" t="s">
        <v>2015</v>
      </c>
      <c r="C701" s="2" t="s">
        <v>2016</v>
      </c>
      <c r="D701" s="3">
        <v>0.3</v>
      </c>
      <c r="E701" s="4"/>
    </row>
    <row r="702" spans="1:5">
      <c r="A702" s="22" t="s">
        <v>2017</v>
      </c>
      <c r="B702" s="31" t="s">
        <v>2018</v>
      </c>
      <c r="C702" s="4">
        <v>375607</v>
      </c>
      <c r="D702" s="11">
        <v>0.32</v>
      </c>
      <c r="E702" s="4"/>
    </row>
    <row r="703" spans="1:5">
      <c r="A703" s="20" t="s">
        <v>2019</v>
      </c>
      <c r="B703" s="32" t="s">
        <v>2020</v>
      </c>
      <c r="C703" s="2" t="s">
        <v>2021</v>
      </c>
      <c r="D703" s="3">
        <v>0.35</v>
      </c>
      <c r="E703" s="4"/>
    </row>
    <row r="704" spans="1:5">
      <c r="A704" s="20" t="s">
        <v>2022</v>
      </c>
      <c r="B704" s="32" t="s">
        <v>2023</v>
      </c>
      <c r="C704" s="2">
        <v>375609</v>
      </c>
      <c r="D704" s="3">
        <v>0.33100000000000002</v>
      </c>
      <c r="E704" s="4"/>
    </row>
    <row r="705" spans="1:5">
      <c r="A705" s="22" t="s">
        <v>2024</v>
      </c>
      <c r="B705" s="31" t="s">
        <v>2025</v>
      </c>
      <c r="C705" s="4">
        <v>375610</v>
      </c>
      <c r="D705" s="11">
        <v>0.35</v>
      </c>
      <c r="E705" s="4"/>
    </row>
    <row r="706" spans="1:5">
      <c r="A706" s="20" t="s">
        <v>2026</v>
      </c>
      <c r="B706" s="32" t="s">
        <v>2027</v>
      </c>
      <c r="C706" s="2" t="s">
        <v>2028</v>
      </c>
      <c r="D706" s="3">
        <v>0.3</v>
      </c>
      <c r="E706" s="4"/>
    </row>
    <row r="707" spans="1:5">
      <c r="A707" s="13" t="s">
        <v>2029</v>
      </c>
      <c r="B707" s="33" t="s">
        <v>2030</v>
      </c>
      <c r="C707" s="4">
        <v>375616</v>
      </c>
      <c r="D707" s="11">
        <v>0.3</v>
      </c>
      <c r="E707" s="4"/>
    </row>
    <row r="708" spans="1:5">
      <c r="A708" s="23" t="s">
        <v>2031</v>
      </c>
      <c r="B708" s="31" t="s">
        <v>2032</v>
      </c>
      <c r="C708" s="4">
        <v>375619</v>
      </c>
      <c r="D708" s="11">
        <v>0.15</v>
      </c>
      <c r="E708" s="4"/>
    </row>
    <row r="709" spans="1:5">
      <c r="A709" s="27" t="s">
        <v>2033</v>
      </c>
      <c r="B709" s="31" t="s">
        <v>2034</v>
      </c>
      <c r="C709" s="4">
        <v>375700</v>
      </c>
      <c r="D709" s="11">
        <v>0.2</v>
      </c>
      <c r="E709" s="4"/>
    </row>
    <row r="710" spans="1:5">
      <c r="A710" s="27" t="s">
        <v>2035</v>
      </c>
      <c r="B710" s="31" t="s">
        <v>2036</v>
      </c>
      <c r="C710" s="4">
        <v>375701</v>
      </c>
      <c r="D710" s="11">
        <v>0.2</v>
      </c>
      <c r="E710" s="4"/>
    </row>
    <row r="711" spans="1:5">
      <c r="A711" s="22" t="s">
        <v>2037</v>
      </c>
      <c r="B711" s="31" t="s">
        <v>2038</v>
      </c>
      <c r="C711" s="4">
        <v>375702</v>
      </c>
      <c r="D711" s="11">
        <v>0.3</v>
      </c>
      <c r="E711" s="4"/>
    </row>
    <row r="712" spans="1:5" ht="12">
      <c r="A712" s="22" t="s">
        <v>2039</v>
      </c>
      <c r="B712" s="49" t="s">
        <v>2040</v>
      </c>
      <c r="C712" s="4">
        <v>375704</v>
      </c>
      <c r="D712" s="11">
        <v>0.34</v>
      </c>
      <c r="E712" s="4"/>
    </row>
    <row r="713" spans="1:5" ht="12">
      <c r="A713" s="22" t="s">
        <v>2041</v>
      </c>
      <c r="B713" s="49" t="s">
        <v>2042</v>
      </c>
      <c r="C713" s="4">
        <v>375705</v>
      </c>
      <c r="D713" s="11">
        <v>0.27</v>
      </c>
      <c r="E713" s="4"/>
    </row>
    <row r="714" spans="1:5" ht="12">
      <c r="A714" s="22" t="s">
        <v>2043</v>
      </c>
      <c r="B714" s="49" t="s">
        <v>2044</v>
      </c>
      <c r="C714" s="4">
        <v>375709</v>
      </c>
      <c r="D714" s="11">
        <v>0.2</v>
      </c>
      <c r="E714" s="4"/>
    </row>
    <row r="715" spans="1:5" ht="12">
      <c r="A715" s="22" t="s">
        <v>2045</v>
      </c>
      <c r="B715" s="49" t="s">
        <v>2046</v>
      </c>
      <c r="C715" s="4">
        <v>375710</v>
      </c>
      <c r="D715" s="11">
        <v>0.27</v>
      </c>
      <c r="E715" s="4"/>
    </row>
    <row r="716" spans="1:5">
      <c r="A716" s="22" t="s">
        <v>2047</v>
      </c>
      <c r="B716" s="31" t="s">
        <v>2046</v>
      </c>
      <c r="C716" s="4">
        <v>375711</v>
      </c>
      <c r="D716" s="11">
        <v>0.25</v>
      </c>
      <c r="E716" s="4"/>
    </row>
    <row r="717" spans="1:5">
      <c r="A717" s="22" t="s">
        <v>2048</v>
      </c>
      <c r="B717" s="31" t="s">
        <v>2049</v>
      </c>
      <c r="C717" s="4">
        <v>375718</v>
      </c>
      <c r="D717" s="11">
        <v>0.25</v>
      </c>
      <c r="E717" s="4"/>
    </row>
    <row r="718" spans="1:5">
      <c r="A718" s="22" t="s">
        <v>2047</v>
      </c>
      <c r="B718" s="31" t="s">
        <v>2050</v>
      </c>
      <c r="C718" s="4">
        <v>375719</v>
      </c>
      <c r="D718" s="11">
        <v>0.2</v>
      </c>
      <c r="E718" s="4"/>
    </row>
    <row r="719" spans="1:5">
      <c r="A719" s="22" t="s">
        <v>2051</v>
      </c>
      <c r="B719" s="31" t="s">
        <v>2052</v>
      </c>
      <c r="C719" s="4">
        <v>375722</v>
      </c>
      <c r="D719" s="11">
        <v>0.2</v>
      </c>
      <c r="E719" s="4"/>
    </row>
    <row r="720" spans="1:5">
      <c r="A720" s="20" t="s">
        <v>2053</v>
      </c>
      <c r="B720" s="32" t="s">
        <v>2054</v>
      </c>
      <c r="C720" s="2" t="s">
        <v>2055</v>
      </c>
      <c r="D720" s="3"/>
      <c r="E720" s="4"/>
    </row>
    <row r="721" spans="1:5">
      <c r="A721" s="20" t="s">
        <v>2056</v>
      </c>
      <c r="B721" s="32" t="s">
        <v>2057</v>
      </c>
      <c r="C721" s="2" t="s">
        <v>2058</v>
      </c>
      <c r="D721" s="3"/>
      <c r="E721" s="4"/>
    </row>
    <row r="722" spans="1:5">
      <c r="A722" s="20" t="s">
        <v>2059</v>
      </c>
      <c r="B722" s="32" t="s">
        <v>2060</v>
      </c>
      <c r="C722" s="2" t="s">
        <v>2061</v>
      </c>
      <c r="D722" s="3"/>
      <c r="E722" s="4"/>
    </row>
    <row r="723" spans="1:5">
      <c r="A723" s="20" t="s">
        <v>2062</v>
      </c>
      <c r="B723" s="32" t="s">
        <v>2063</v>
      </c>
      <c r="C723" s="2" t="s">
        <v>2064</v>
      </c>
      <c r="D723" s="3"/>
      <c r="E723" s="4"/>
    </row>
    <row r="724" spans="1:5">
      <c r="A724" s="20" t="s">
        <v>2065</v>
      </c>
      <c r="B724" s="32" t="s">
        <v>2066</v>
      </c>
      <c r="C724" s="2" t="s">
        <v>2067</v>
      </c>
      <c r="D724" s="3"/>
      <c r="E724" s="4"/>
    </row>
    <row r="725" spans="1:5">
      <c r="A725" s="20" t="s">
        <v>2068</v>
      </c>
      <c r="B725" s="32" t="s">
        <v>2069</v>
      </c>
      <c r="C725" s="2" t="s">
        <v>2070</v>
      </c>
      <c r="D725" s="3"/>
      <c r="E725" s="4"/>
    </row>
    <row r="726" spans="1:5">
      <c r="A726" s="20" t="s">
        <v>2071</v>
      </c>
      <c r="B726" s="32" t="s">
        <v>2072</v>
      </c>
      <c r="C726" s="2" t="s">
        <v>2073</v>
      </c>
      <c r="D726" s="3"/>
      <c r="E726" s="4"/>
    </row>
    <row r="727" spans="1:5">
      <c r="A727" s="20" t="s">
        <v>2074</v>
      </c>
      <c r="B727" s="32" t="s">
        <v>2075</v>
      </c>
      <c r="C727" s="2" t="s">
        <v>2076</v>
      </c>
      <c r="D727" s="3"/>
      <c r="E727" s="4"/>
    </row>
    <row r="728" spans="1:5">
      <c r="A728" s="20" t="s">
        <v>2077</v>
      </c>
      <c r="B728" s="32" t="s">
        <v>2078</v>
      </c>
      <c r="C728" s="2" t="s">
        <v>2079</v>
      </c>
      <c r="D728" s="3"/>
      <c r="E728" s="4"/>
    </row>
    <row r="729" spans="1:5">
      <c r="A729" s="20" t="s">
        <v>2080</v>
      </c>
      <c r="B729" s="32" t="s">
        <v>2081</v>
      </c>
      <c r="C729" s="2" t="s">
        <v>2082</v>
      </c>
      <c r="D729" s="3"/>
      <c r="E729" s="4"/>
    </row>
    <row r="730" spans="1:5">
      <c r="A730" s="20" t="s">
        <v>2083</v>
      </c>
      <c r="B730" s="32" t="s">
        <v>2084</v>
      </c>
      <c r="C730" s="2" t="s">
        <v>2085</v>
      </c>
      <c r="D730" s="3"/>
      <c r="E730" s="4"/>
    </row>
    <row r="731" spans="1:5">
      <c r="A731" s="20" t="s">
        <v>2086</v>
      </c>
      <c r="B731" s="32" t="s">
        <v>2087</v>
      </c>
      <c r="C731" s="2" t="s">
        <v>2088</v>
      </c>
      <c r="D731" s="3"/>
      <c r="E731" s="4"/>
    </row>
    <row r="732" spans="1:5">
      <c r="A732" s="20" t="s">
        <v>2089</v>
      </c>
      <c r="B732" s="32" t="s">
        <v>2090</v>
      </c>
      <c r="C732" s="2" t="s">
        <v>2091</v>
      </c>
      <c r="D732" s="3"/>
      <c r="E732" s="4"/>
    </row>
    <row r="733" spans="1:5">
      <c r="A733" s="20" t="s">
        <v>2092</v>
      </c>
      <c r="B733" s="32" t="s">
        <v>2093</v>
      </c>
      <c r="C733" s="2" t="s">
        <v>2094</v>
      </c>
      <c r="D733" s="3"/>
      <c r="E733" s="4"/>
    </row>
    <row r="734" spans="1:5">
      <c r="A734" s="20" t="s">
        <v>2095</v>
      </c>
      <c r="B734" s="32" t="s">
        <v>2096</v>
      </c>
      <c r="C734" s="2" t="s">
        <v>2097</v>
      </c>
      <c r="D734" s="3"/>
      <c r="E734" s="4"/>
    </row>
    <row r="735" spans="1:5">
      <c r="A735" s="20" t="s">
        <v>2098</v>
      </c>
      <c r="B735" s="32" t="s">
        <v>2099</v>
      </c>
      <c r="C735" s="2" t="s">
        <v>2100</v>
      </c>
      <c r="D735" s="3"/>
      <c r="E735" s="4"/>
    </row>
    <row r="736" spans="1:5">
      <c r="A736" s="20" t="s">
        <v>2101</v>
      </c>
      <c r="B736" s="32" t="s">
        <v>2102</v>
      </c>
      <c r="C736" s="2" t="s">
        <v>2103</v>
      </c>
      <c r="D736" s="3"/>
      <c r="E736" s="4"/>
    </row>
    <row r="737" spans="1:7">
      <c r="A737" s="20" t="s">
        <v>2104</v>
      </c>
      <c r="B737" s="32" t="s">
        <v>2105</v>
      </c>
      <c r="C737" s="2" t="s">
        <v>2106</v>
      </c>
      <c r="D737" s="3"/>
      <c r="E737" s="4"/>
    </row>
    <row r="738" spans="1:7">
      <c r="A738" s="20" t="s">
        <v>2107</v>
      </c>
      <c r="B738" s="32" t="s">
        <v>2108</v>
      </c>
      <c r="C738" s="2" t="s">
        <v>2109</v>
      </c>
      <c r="D738" s="3"/>
      <c r="E738" s="4"/>
    </row>
    <row r="739" spans="1:7">
      <c r="A739" s="20" t="s">
        <v>2110</v>
      </c>
      <c r="B739" s="32" t="s">
        <v>2111</v>
      </c>
      <c r="C739" s="2" t="s">
        <v>2112</v>
      </c>
      <c r="D739" s="3"/>
      <c r="E739" s="4"/>
    </row>
    <row r="740" spans="1:7">
      <c r="A740" s="22" t="s">
        <v>2113</v>
      </c>
      <c r="B740" s="31" t="s">
        <v>2114</v>
      </c>
      <c r="C740" s="4">
        <v>400100</v>
      </c>
      <c r="D740" s="11">
        <v>0.5</v>
      </c>
      <c r="E740" s="4"/>
    </row>
    <row r="741" spans="1:7" ht="12">
      <c r="A741" s="50" t="s">
        <v>2115</v>
      </c>
      <c r="B741" s="31" t="s">
        <v>2116</v>
      </c>
      <c r="C741" s="4">
        <v>400369</v>
      </c>
      <c r="D741" s="11">
        <v>0.95</v>
      </c>
      <c r="E741" s="4"/>
    </row>
    <row r="742" spans="1:7">
      <c r="A742" s="22" t="s">
        <v>2117</v>
      </c>
      <c r="B742" s="31" t="s">
        <v>2118</v>
      </c>
      <c r="C742" s="4">
        <v>400831</v>
      </c>
      <c r="D742" s="11">
        <v>0.2</v>
      </c>
      <c r="E742" s="4"/>
    </row>
    <row r="743" spans="1:7">
      <c r="A743" s="22" t="s">
        <v>2119</v>
      </c>
      <c r="B743" s="31" t="s">
        <v>2120</v>
      </c>
      <c r="C743" s="4">
        <v>402118</v>
      </c>
      <c r="D743" s="11">
        <v>0.35</v>
      </c>
      <c r="E743" s="4"/>
    </row>
    <row r="744" spans="1:7">
      <c r="A744" s="22" t="s">
        <v>2121</v>
      </c>
      <c r="B744" s="31" t="s">
        <v>2122</v>
      </c>
      <c r="C744" s="4">
        <v>406489</v>
      </c>
      <c r="D744" s="11">
        <v>0.308</v>
      </c>
      <c r="E744" s="4"/>
    </row>
    <row r="745" spans="1:7">
      <c r="A745" s="27" t="s">
        <v>2123</v>
      </c>
      <c r="B745" s="31" t="s">
        <v>2124</v>
      </c>
      <c r="C745" s="4">
        <v>406503</v>
      </c>
      <c r="D745" s="11">
        <v>1</v>
      </c>
      <c r="E745" s="4"/>
    </row>
    <row r="746" spans="1:7">
      <c r="A746" s="22" t="s">
        <v>2125</v>
      </c>
      <c r="B746" s="31" t="s">
        <v>2126</v>
      </c>
      <c r="C746" s="4">
        <v>406510</v>
      </c>
      <c r="D746" s="11">
        <v>0.308</v>
      </c>
      <c r="E746" s="4"/>
    </row>
    <row r="747" spans="1:7">
      <c r="A747" s="22" t="s">
        <v>2127</v>
      </c>
      <c r="B747" s="31" t="s">
        <v>2128</v>
      </c>
      <c r="C747" s="4">
        <v>407029</v>
      </c>
      <c r="D747" s="11">
        <v>1.32</v>
      </c>
      <c r="E747" s="4"/>
    </row>
    <row r="748" spans="1:7">
      <c r="A748" s="22" t="s">
        <v>2129</v>
      </c>
      <c r="B748" s="31" t="s">
        <v>2130</v>
      </c>
      <c r="C748" s="4">
        <v>407029</v>
      </c>
      <c r="D748" s="11">
        <v>1.32</v>
      </c>
      <c r="E748" s="4"/>
    </row>
    <row r="749" spans="1:7">
      <c r="A749" s="22" t="s">
        <v>2131</v>
      </c>
      <c r="B749" s="31" t="s">
        <v>2132</v>
      </c>
      <c r="C749" s="4">
        <v>407297</v>
      </c>
      <c r="D749" s="11">
        <v>1.32</v>
      </c>
      <c r="E749" s="4"/>
    </row>
    <row r="750" spans="1:7">
      <c r="A750" s="22" t="s">
        <v>2133</v>
      </c>
      <c r="B750" s="31" t="s">
        <v>2134</v>
      </c>
      <c r="C750" s="4">
        <v>414021</v>
      </c>
      <c r="D750" s="11">
        <v>0.3</v>
      </c>
      <c r="E750" s="4"/>
    </row>
    <row r="751" spans="1:7">
      <c r="A751" s="22" t="s">
        <v>2135</v>
      </c>
      <c r="B751" s="31" t="s">
        <v>2136</v>
      </c>
      <c r="C751" s="4">
        <v>414603</v>
      </c>
      <c r="D751" s="11">
        <v>0.7</v>
      </c>
      <c r="E751" s="4"/>
    </row>
    <row r="752" spans="1:7">
      <c r="A752" s="22" t="s">
        <v>2137</v>
      </c>
      <c r="B752" s="31" t="s">
        <v>2138</v>
      </c>
      <c r="C752" s="4">
        <v>414605</v>
      </c>
      <c r="D752" s="11">
        <v>0.15</v>
      </c>
      <c r="E752" s="4"/>
      <c r="G752" s="1">
        <f>84*0.9</f>
        <v>75.600000000000009</v>
      </c>
    </row>
    <row r="753" spans="1:9">
      <c r="A753" s="22" t="s">
        <v>2139</v>
      </c>
      <c r="B753" s="31" t="s">
        <v>2140</v>
      </c>
      <c r="C753" s="4">
        <v>414621</v>
      </c>
      <c r="D753" s="11">
        <v>0.65</v>
      </c>
      <c r="E753" s="4"/>
      <c r="G753" s="1">
        <v>75</v>
      </c>
    </row>
    <row r="754" spans="1:9">
      <c r="A754" s="22" t="s">
        <v>2141</v>
      </c>
      <c r="B754" s="31" t="s">
        <v>2142</v>
      </c>
      <c r="C754" s="4">
        <v>440097</v>
      </c>
      <c r="D754" s="11">
        <v>0.4</v>
      </c>
      <c r="E754" s="4"/>
    </row>
    <row r="755" spans="1:9">
      <c r="A755" s="22" t="s">
        <v>2143</v>
      </c>
      <c r="B755" s="31" t="s">
        <v>2144</v>
      </c>
      <c r="C755" s="4">
        <v>453605</v>
      </c>
      <c r="D755" s="11">
        <v>0.4</v>
      </c>
      <c r="E755" s="4"/>
    </row>
    <row r="756" spans="1:9">
      <c r="A756" s="22" t="s">
        <v>2145</v>
      </c>
      <c r="B756" s="31" t="s">
        <v>2146</v>
      </c>
      <c r="C756" s="4">
        <v>453825</v>
      </c>
      <c r="D756" s="11">
        <v>0.44</v>
      </c>
      <c r="E756" s="4"/>
    </row>
    <row r="757" spans="1:9">
      <c r="A757" s="27" t="s">
        <v>2147</v>
      </c>
      <c r="B757" s="31" t="s">
        <v>2148</v>
      </c>
      <c r="C757" s="4">
        <v>459322</v>
      </c>
      <c r="D757" s="11">
        <v>2.2000000000000002</v>
      </c>
      <c r="E757" s="4"/>
    </row>
    <row r="758" spans="1:9">
      <c r="A758" s="22" t="s">
        <v>2149</v>
      </c>
      <c r="B758" s="31" t="s">
        <v>2150</v>
      </c>
      <c r="C758" s="4">
        <v>469167</v>
      </c>
      <c r="D758" s="11">
        <v>0.75</v>
      </c>
      <c r="E758" s="4"/>
    </row>
    <row r="759" spans="1:9">
      <c r="A759" s="22" t="s">
        <v>2151</v>
      </c>
      <c r="B759" s="31" t="s">
        <v>2152</v>
      </c>
      <c r="C759" s="4">
        <v>476589</v>
      </c>
      <c r="D759" s="11">
        <v>0.4</v>
      </c>
      <c r="E759" s="4"/>
    </row>
    <row r="760" spans="1:9">
      <c r="A760" s="22" t="s">
        <v>2153</v>
      </c>
      <c r="B760" s="31" t="s">
        <v>2154</v>
      </c>
      <c r="C760" s="4">
        <v>499322</v>
      </c>
      <c r="D760" s="11">
        <v>0.35</v>
      </c>
      <c r="E760" s="4"/>
    </row>
    <row r="761" spans="1:9">
      <c r="A761" s="22" t="s">
        <v>2155</v>
      </c>
      <c r="B761" s="31" t="s">
        <v>2156</v>
      </c>
      <c r="C761" s="4">
        <v>499337</v>
      </c>
      <c r="D761" s="11">
        <v>1.25</v>
      </c>
      <c r="E761" s="4"/>
    </row>
    <row r="762" spans="1:9">
      <c r="A762" s="22" t="s">
        <v>2157</v>
      </c>
      <c r="B762" s="31" t="s">
        <v>2158</v>
      </c>
      <c r="C762" s="4">
        <v>499881</v>
      </c>
      <c r="D762" s="11">
        <v>0.31</v>
      </c>
      <c r="E762" s="4"/>
    </row>
    <row r="763" spans="1:9">
      <c r="A763" s="22" t="s">
        <v>2159</v>
      </c>
      <c r="B763" s="31" t="s">
        <v>2160</v>
      </c>
      <c r="C763" s="4">
        <v>506010</v>
      </c>
      <c r="D763" s="11">
        <v>0.6</v>
      </c>
      <c r="E763" s="4"/>
      <c r="I763" s="1">
        <f>0.35*2</f>
        <v>0.7</v>
      </c>
    </row>
    <row r="764" spans="1:9">
      <c r="A764" s="22" t="s">
        <v>2161</v>
      </c>
      <c r="B764" s="31" t="s">
        <v>2162</v>
      </c>
      <c r="C764" s="4">
        <v>506011</v>
      </c>
      <c r="D764" s="11">
        <v>0.85</v>
      </c>
      <c r="E764" s="4"/>
    </row>
    <row r="765" spans="1:9">
      <c r="A765" s="20" t="s">
        <v>2163</v>
      </c>
      <c r="B765" s="32" t="s">
        <v>2164</v>
      </c>
      <c r="C765" s="2" t="s">
        <v>2165</v>
      </c>
      <c r="D765" s="3"/>
      <c r="E765" s="4"/>
    </row>
    <row r="766" spans="1:9">
      <c r="A766" s="22" t="s">
        <v>319</v>
      </c>
      <c r="B766" s="31" t="s">
        <v>2166</v>
      </c>
      <c r="C766" s="4" t="s">
        <v>2167</v>
      </c>
      <c r="D766" s="11">
        <v>1.1000000000000001</v>
      </c>
      <c r="E766" s="4"/>
    </row>
    <row r="767" spans="1:9">
      <c r="A767" s="22" t="s">
        <v>319</v>
      </c>
      <c r="B767" s="31" t="s">
        <v>2168</v>
      </c>
      <c r="C767" s="4" t="s">
        <v>2169</v>
      </c>
      <c r="D767" s="11">
        <v>1.1499999999999999</v>
      </c>
      <c r="E767" s="4"/>
    </row>
    <row r="768" spans="1:9">
      <c r="A768" s="22" t="s">
        <v>319</v>
      </c>
      <c r="B768" s="31" t="s">
        <v>2170</v>
      </c>
      <c r="C768" s="4" t="s">
        <v>2171</v>
      </c>
      <c r="D768" s="11">
        <v>1.05</v>
      </c>
      <c r="E768" s="4"/>
    </row>
    <row r="769" spans="1:8">
      <c r="A769" s="22" t="s">
        <v>417</v>
      </c>
      <c r="B769" s="31" t="s">
        <v>2172</v>
      </c>
      <c r="C769" s="4" t="s">
        <v>2173</v>
      </c>
      <c r="D769" s="11">
        <v>1.25</v>
      </c>
      <c r="E769" s="4"/>
    </row>
    <row r="770" spans="1:8">
      <c r="A770" s="22" t="s">
        <v>319</v>
      </c>
      <c r="B770" s="31" t="s">
        <v>2174</v>
      </c>
      <c r="C770" s="4" t="s">
        <v>2175</v>
      </c>
      <c r="D770" s="11">
        <v>1.05</v>
      </c>
      <c r="E770" s="4"/>
    </row>
    <row r="771" spans="1:8">
      <c r="A771" s="22" t="s">
        <v>417</v>
      </c>
      <c r="B771" s="31" t="s">
        <v>2176</v>
      </c>
      <c r="C771" s="4" t="s">
        <v>2177</v>
      </c>
      <c r="D771" s="11">
        <v>1.25</v>
      </c>
      <c r="E771" s="4"/>
    </row>
    <row r="772" spans="1:8" ht="12">
      <c r="A772" s="29" t="s">
        <v>2178</v>
      </c>
      <c r="B772" s="31" t="s">
        <v>2179</v>
      </c>
      <c r="C772" s="4" t="s">
        <v>2180</v>
      </c>
      <c r="D772" s="11">
        <v>3.7</v>
      </c>
      <c r="E772" s="4"/>
    </row>
    <row r="773" spans="1:8">
      <c r="A773" s="22" t="s">
        <v>2181</v>
      </c>
      <c r="B773" s="31" t="s">
        <v>2182</v>
      </c>
      <c r="C773" s="4" t="s">
        <v>2183</v>
      </c>
      <c r="D773" s="11">
        <v>0.6</v>
      </c>
      <c r="E773" s="4"/>
    </row>
    <row r="774" spans="1:8">
      <c r="A774" s="22" t="s">
        <v>2184</v>
      </c>
      <c r="B774" s="31" t="s">
        <v>2185</v>
      </c>
      <c r="C774" s="4" t="s">
        <v>2186</v>
      </c>
      <c r="D774" s="11">
        <v>0.4</v>
      </c>
      <c r="E774" s="4"/>
    </row>
    <row r="775" spans="1:8">
      <c r="A775" s="25"/>
      <c r="B775" s="31" t="s">
        <v>2187</v>
      </c>
      <c r="C775" s="4"/>
      <c r="D775" s="11">
        <v>0.4</v>
      </c>
      <c r="E775" s="4"/>
    </row>
    <row r="776" spans="1:8">
      <c r="A776" s="22"/>
      <c r="B776" s="31" t="s">
        <v>2188</v>
      </c>
      <c r="C776" s="4"/>
      <c r="D776" s="11">
        <v>0.1</v>
      </c>
      <c r="E776" s="4"/>
    </row>
    <row r="777" spans="1:8">
      <c r="A777" s="22" t="s">
        <v>2189</v>
      </c>
      <c r="B777" s="31" t="s">
        <v>2190</v>
      </c>
      <c r="C777" s="4" t="s">
        <v>2191</v>
      </c>
      <c r="D777" s="11"/>
      <c r="E777" s="4"/>
    </row>
    <row r="778" spans="1:8">
      <c r="A778" s="22" t="s">
        <v>2192</v>
      </c>
      <c r="B778" s="31" t="s">
        <v>318</v>
      </c>
      <c r="C778" s="4" t="s">
        <v>2193</v>
      </c>
      <c r="D778" s="11">
        <v>0.6</v>
      </c>
      <c r="E778" s="4"/>
    </row>
    <row r="779" spans="1:8">
      <c r="A779" s="22" t="s">
        <v>2194</v>
      </c>
      <c r="B779" s="35" t="s">
        <v>2195</v>
      </c>
      <c r="C779" s="35" t="s">
        <v>2196</v>
      </c>
      <c r="D779" s="11">
        <v>0.9</v>
      </c>
      <c r="E779" s="4"/>
    </row>
    <row r="780" spans="1:8">
      <c r="A780" s="22" t="s">
        <v>2194</v>
      </c>
      <c r="B780" s="35" t="s">
        <v>2197</v>
      </c>
      <c r="C780" s="35" t="s">
        <v>2198</v>
      </c>
      <c r="D780" s="11">
        <v>0.9</v>
      </c>
      <c r="E780" s="4"/>
    </row>
    <row r="781" spans="1:8">
      <c r="A781" s="22" t="s">
        <v>2199</v>
      </c>
      <c r="B781" s="31" t="s">
        <v>2200</v>
      </c>
      <c r="C781" s="4" t="s">
        <v>2201</v>
      </c>
      <c r="D781" s="11">
        <v>2.2000000000000002</v>
      </c>
      <c r="E781" s="4"/>
    </row>
    <row r="782" spans="1:8">
      <c r="A782" s="22" t="s">
        <v>2202</v>
      </c>
      <c r="B782" s="31" t="s">
        <v>2203</v>
      </c>
      <c r="C782" s="4" t="s">
        <v>2204</v>
      </c>
      <c r="D782" s="11">
        <v>2.2999999999999998</v>
      </c>
      <c r="E782" s="4"/>
    </row>
    <row r="783" spans="1:8">
      <c r="A783" s="22" t="s">
        <v>2205</v>
      </c>
      <c r="B783" s="31" t="s">
        <v>2206</v>
      </c>
      <c r="C783" s="4" t="s">
        <v>2207</v>
      </c>
      <c r="D783" s="11">
        <v>2.5</v>
      </c>
      <c r="E783" s="4"/>
      <c r="H783" s="1">
        <f>50*0.6</f>
        <v>30</v>
      </c>
    </row>
    <row r="784" spans="1:8">
      <c r="A784" s="22" t="s">
        <v>2208</v>
      </c>
      <c r="B784" s="31" t="s">
        <v>2209</v>
      </c>
      <c r="C784" s="4" t="s">
        <v>2207</v>
      </c>
      <c r="D784" s="11">
        <v>2.1</v>
      </c>
      <c r="E784" s="4"/>
    </row>
    <row r="785" spans="1:5">
      <c r="A785" s="22" t="s">
        <v>2210</v>
      </c>
      <c r="B785" s="31" t="s">
        <v>2211</v>
      </c>
      <c r="C785" s="4" t="s">
        <v>2212</v>
      </c>
      <c r="D785" s="11">
        <v>1.1000000000000001</v>
      </c>
      <c r="E785" s="4"/>
    </row>
    <row r="786" spans="1:5">
      <c r="A786" s="22" t="s">
        <v>2213</v>
      </c>
      <c r="B786" s="31" t="s">
        <v>2214</v>
      </c>
      <c r="C786" s="4" t="s">
        <v>2215</v>
      </c>
      <c r="D786" s="11">
        <v>0.7</v>
      </c>
      <c r="E786" s="4"/>
    </row>
    <row r="787" spans="1:5">
      <c r="A787" s="22" t="s">
        <v>2216</v>
      </c>
      <c r="B787" s="31" t="s">
        <v>2217</v>
      </c>
      <c r="C787" s="4" t="s">
        <v>2218</v>
      </c>
      <c r="D787" s="11">
        <v>2.38</v>
      </c>
      <c r="E787" s="4"/>
    </row>
    <row r="788" spans="1:5">
      <c r="A788" s="22" t="s">
        <v>2219</v>
      </c>
      <c r="B788" s="31" t="s">
        <v>2220</v>
      </c>
      <c r="C788" s="4" t="s">
        <v>2221</v>
      </c>
      <c r="D788" s="11">
        <v>1</v>
      </c>
      <c r="E788" s="4"/>
    </row>
    <row r="789" spans="1:5">
      <c r="A789" s="22" t="s">
        <v>2222</v>
      </c>
      <c r="B789" s="31" t="s">
        <v>2223</v>
      </c>
      <c r="C789" s="4" t="s">
        <v>2224</v>
      </c>
      <c r="D789" s="11">
        <v>1</v>
      </c>
      <c r="E789" s="4"/>
    </row>
    <row r="790" spans="1:5">
      <c r="A790" s="22" t="s">
        <v>2225</v>
      </c>
      <c r="B790" s="31" t="s">
        <v>2226</v>
      </c>
      <c r="C790" s="4" t="s">
        <v>2227</v>
      </c>
      <c r="D790" s="11">
        <v>0.15</v>
      </c>
      <c r="E790" s="4"/>
    </row>
    <row r="791" spans="1:5">
      <c r="A791" s="22" t="s">
        <v>2228</v>
      </c>
      <c r="B791" s="31" t="s">
        <v>2229</v>
      </c>
      <c r="C791" s="4" t="s">
        <v>2230</v>
      </c>
      <c r="D791" s="11">
        <v>0.1</v>
      </c>
      <c r="E791" s="4"/>
    </row>
    <row r="792" spans="1:5">
      <c r="A792" s="22" t="s">
        <v>2231</v>
      </c>
      <c r="B792" s="31" t="s">
        <v>2232</v>
      </c>
      <c r="C792" s="4" t="s">
        <v>2233</v>
      </c>
      <c r="D792" s="11">
        <v>0.4</v>
      </c>
      <c r="E792" s="4"/>
    </row>
    <row r="793" spans="1:5">
      <c r="A793" s="22" t="s">
        <v>2234</v>
      </c>
      <c r="B793" s="31" t="s">
        <v>2235</v>
      </c>
      <c r="C793" s="4" t="s">
        <v>2236</v>
      </c>
      <c r="D793" s="11">
        <v>1.2</v>
      </c>
      <c r="E793" s="4"/>
    </row>
    <row r="794" spans="1:5">
      <c r="A794" s="22" t="s">
        <v>2237</v>
      </c>
      <c r="B794" s="31" t="s">
        <v>2238</v>
      </c>
      <c r="C794" s="4">
        <v>435085</v>
      </c>
      <c r="D794" s="11">
        <v>0.8</v>
      </c>
      <c r="E794" s="4"/>
    </row>
    <row r="795" spans="1:5">
      <c r="A795" s="22"/>
      <c r="B795" s="39" t="s">
        <v>2239</v>
      </c>
      <c r="C795" s="4" t="s">
        <v>2240</v>
      </c>
      <c r="D795" s="11">
        <v>2</v>
      </c>
      <c r="E795" s="4"/>
    </row>
    <row r="796" spans="1:5">
      <c r="A796" s="22"/>
      <c r="B796" s="40" t="s">
        <v>2241</v>
      </c>
      <c r="C796" s="4" t="s">
        <v>2242</v>
      </c>
      <c r="D796" s="11">
        <v>0.33</v>
      </c>
      <c r="E796" s="4"/>
    </row>
    <row r="797" spans="1:5" s="36" customFormat="1" ht="12">
      <c r="A797" s="41"/>
      <c r="B797" s="42" t="s">
        <v>2243</v>
      </c>
      <c r="C797" s="4" t="s">
        <v>2244</v>
      </c>
      <c r="D797" s="11" t="s">
        <v>2245</v>
      </c>
      <c r="E797" s="43"/>
    </row>
    <row r="798" spans="1:5">
      <c r="A798" s="22"/>
      <c r="B798" s="31" t="s">
        <v>2246</v>
      </c>
      <c r="C798" s="4" t="s">
        <v>2247</v>
      </c>
      <c r="D798" s="11">
        <v>0.05</v>
      </c>
      <c r="E798" s="4"/>
    </row>
    <row r="799" spans="1:5" ht="12">
      <c r="A799" s="22" t="s">
        <v>2248</v>
      </c>
      <c r="B799" s="44" t="s">
        <v>2249</v>
      </c>
      <c r="C799" s="4">
        <v>466001</v>
      </c>
      <c r="D799" s="11">
        <v>1</v>
      </c>
      <c r="E799" s="4"/>
    </row>
    <row r="800" spans="1:5" ht="12">
      <c r="A800" s="22" t="s">
        <v>2250</v>
      </c>
      <c r="B800" s="44" t="s">
        <v>2251</v>
      </c>
      <c r="C800" s="4">
        <v>466055</v>
      </c>
      <c r="D800" s="11">
        <v>3</v>
      </c>
      <c r="E800" s="4"/>
    </row>
    <row r="801" spans="1:9" ht="12">
      <c r="A801" s="22" t="s">
        <v>2252</v>
      </c>
      <c r="B801" s="45" t="s">
        <v>2253</v>
      </c>
      <c r="C801" s="4">
        <v>499986</v>
      </c>
      <c r="D801" s="11">
        <v>0.5</v>
      </c>
      <c r="E801" s="4"/>
    </row>
    <row r="802" spans="1:9" ht="12">
      <c r="A802" s="22" t="s">
        <v>2254</v>
      </c>
      <c r="B802" s="46" t="s">
        <v>2255</v>
      </c>
      <c r="C802" s="4">
        <v>499734</v>
      </c>
      <c r="D802" s="11">
        <v>0.4</v>
      </c>
      <c r="E802" s="4"/>
    </row>
    <row r="803" spans="1:9">
      <c r="A803" s="22"/>
      <c r="B803" s="31"/>
      <c r="C803" s="4"/>
      <c r="D803" s="11"/>
      <c r="E803" s="4"/>
      <c r="I803" s="37"/>
    </row>
    <row r="804" spans="1:9">
      <c r="A804" s="22" t="s">
        <v>2256</v>
      </c>
      <c r="B804" s="32" t="s">
        <v>2257</v>
      </c>
      <c r="C804" s="47">
        <v>469918</v>
      </c>
      <c r="D804" s="11">
        <v>0.4</v>
      </c>
      <c r="E804" s="4"/>
      <c r="I804" s="38"/>
    </row>
    <row r="805" spans="1:9">
      <c r="A805" s="22" t="s">
        <v>2258</v>
      </c>
      <c r="B805" s="48" t="s">
        <v>2259</v>
      </c>
      <c r="C805" s="47">
        <v>906252</v>
      </c>
      <c r="D805" s="11">
        <v>0.3</v>
      </c>
      <c r="E805" s="4"/>
      <c r="I805" s="37"/>
    </row>
    <row r="806" spans="1:9">
      <c r="A806" s="22" t="s">
        <v>2260</v>
      </c>
      <c r="B806" s="32" t="s">
        <v>2261</v>
      </c>
      <c r="C806" s="47">
        <v>902971</v>
      </c>
      <c r="D806" s="11">
        <v>3.5</v>
      </c>
      <c r="E806" s="4"/>
      <c r="I806" s="38"/>
    </row>
    <row r="807" spans="1:9">
      <c r="A807" s="22" t="s">
        <v>2262</v>
      </c>
      <c r="B807" s="32" t="s">
        <v>2263</v>
      </c>
      <c r="C807" s="47">
        <v>907143</v>
      </c>
      <c r="D807" s="11">
        <v>0.25</v>
      </c>
      <c r="E807" s="4"/>
      <c r="I807" s="37"/>
    </row>
    <row r="808" spans="1:9">
      <c r="A808" s="22" t="s">
        <v>2264</v>
      </c>
      <c r="B808" s="48" t="s">
        <v>2265</v>
      </c>
      <c r="C808" s="4">
        <v>413449</v>
      </c>
      <c r="D808" s="11">
        <v>0.5</v>
      </c>
      <c r="E808" s="4"/>
      <c r="I808" s="37"/>
    </row>
    <row r="809" spans="1:9">
      <c r="A809" s="22" t="s">
        <v>2266</v>
      </c>
      <c r="B809" s="48" t="s">
        <v>2267</v>
      </c>
      <c r="C809" s="4">
        <v>413615</v>
      </c>
      <c r="D809" s="11">
        <v>0.14000000000000001</v>
      </c>
      <c r="E809" s="4"/>
      <c r="I809" s="37">
        <f>2*0.35</f>
        <v>0.7</v>
      </c>
    </row>
    <row r="810" spans="1:9">
      <c r="A810" s="22" t="s">
        <v>2268</v>
      </c>
      <c r="B810" s="32" t="s">
        <v>2269</v>
      </c>
      <c r="C810" s="47">
        <v>499928</v>
      </c>
      <c r="D810" s="11">
        <v>1</v>
      </c>
      <c r="E810" s="47" t="s">
        <v>2270</v>
      </c>
    </row>
    <row r="811" spans="1:9">
      <c r="A811" s="22" t="s">
        <v>2271</v>
      </c>
      <c r="B811" s="32" t="s">
        <v>2272</v>
      </c>
      <c r="C811" s="47">
        <v>499317</v>
      </c>
      <c r="D811" s="11">
        <v>0.35</v>
      </c>
      <c r="E811" s="47" t="s">
        <v>2273</v>
      </c>
    </row>
    <row r="812" spans="1:9">
      <c r="A812" s="22" t="s">
        <v>2274</v>
      </c>
      <c r="B812" s="31" t="s">
        <v>2275</v>
      </c>
      <c r="C812" s="4">
        <v>466069</v>
      </c>
      <c r="D812" s="11">
        <v>2.7</v>
      </c>
      <c r="E812" s="4"/>
    </row>
    <row r="813" spans="1:9">
      <c r="A813" s="22" t="s">
        <v>2276</v>
      </c>
      <c r="B813" s="31" t="s">
        <v>2277</v>
      </c>
      <c r="C813" s="4">
        <v>338364</v>
      </c>
      <c r="D813" s="11">
        <v>0.45</v>
      </c>
      <c r="E813" s="4" t="s">
        <v>2278</v>
      </c>
    </row>
    <row r="814" spans="1:9">
      <c r="A814" s="22" t="s">
        <v>2279</v>
      </c>
      <c r="B814" s="31" t="s">
        <v>2280</v>
      </c>
      <c r="C814" s="4" t="s">
        <v>2281</v>
      </c>
      <c r="D814" s="11">
        <v>1.85</v>
      </c>
      <c r="E814" s="4" t="s">
        <v>2273</v>
      </c>
    </row>
    <row r="815" spans="1:9">
      <c r="A815" s="1" t="s">
        <v>2282</v>
      </c>
      <c r="B815" s="14" t="s">
        <v>2283</v>
      </c>
      <c r="C815" s="15" t="s">
        <v>2284</v>
      </c>
      <c r="D815" s="14"/>
      <c r="E815" s="1"/>
    </row>
    <row r="816" spans="1:9">
      <c r="A816" s="26" t="s">
        <v>2285</v>
      </c>
      <c r="B816" s="1" t="s">
        <v>2286</v>
      </c>
      <c r="C816" s="14" t="s">
        <v>2287</v>
      </c>
    </row>
    <row r="817" spans="1:4">
      <c r="A817" s="26" t="s">
        <v>2288</v>
      </c>
      <c r="B817" s="1" t="s">
        <v>2289</v>
      </c>
      <c r="C817" s="14" t="s">
        <v>2290</v>
      </c>
      <c r="D817" s="15">
        <v>0.55000000000000004</v>
      </c>
    </row>
    <row r="818" spans="1:4">
      <c r="A818" s="26" t="s">
        <v>2291</v>
      </c>
      <c r="B818" s="1" t="s">
        <v>2292</v>
      </c>
      <c r="C818" s="14" t="s">
        <v>2293</v>
      </c>
      <c r="D818" s="15">
        <v>0.35</v>
      </c>
    </row>
    <row r="819" spans="1:4">
      <c r="A819" s="26" t="s">
        <v>2294</v>
      </c>
      <c r="B819" s="1" t="s">
        <v>2295</v>
      </c>
      <c r="C819" s="14" t="s">
        <v>2296</v>
      </c>
      <c r="D819" s="15" t="s">
        <v>2297</v>
      </c>
    </row>
    <row r="820" spans="1:4">
      <c r="A820" s="26" t="s">
        <v>2298</v>
      </c>
      <c r="B820" s="1" t="s">
        <v>2299</v>
      </c>
      <c r="C820" s="14" t="s">
        <v>2300</v>
      </c>
      <c r="D820" s="15" t="s">
        <v>2297</v>
      </c>
    </row>
    <row r="821" spans="1:4">
      <c r="A821" s="26" t="s">
        <v>2301</v>
      </c>
      <c r="B821" s="1" t="s">
        <v>2302</v>
      </c>
      <c r="C821" s="14" t="s">
        <v>2303</v>
      </c>
      <c r="D821" s="15" t="s">
        <v>2304</v>
      </c>
    </row>
    <row r="822" spans="1:4">
      <c r="A822" s="26" t="s">
        <v>2305</v>
      </c>
      <c r="B822" s="1" t="s">
        <v>2306</v>
      </c>
      <c r="C822" s="14" t="s">
        <v>2307</v>
      </c>
      <c r="D822" s="15" t="s">
        <v>2308</v>
      </c>
    </row>
    <row r="823" spans="1:4">
      <c r="A823" s="26" t="s">
        <v>2309</v>
      </c>
      <c r="B823" s="1" t="s">
        <v>2310</v>
      </c>
      <c r="C823" s="14" t="s">
        <v>2311</v>
      </c>
      <c r="D823" s="15" t="s">
        <v>2312</v>
      </c>
    </row>
    <row r="824" spans="1:4">
      <c r="A824" s="26" t="s">
        <v>2313</v>
      </c>
      <c r="B824" s="1" t="s">
        <v>2314</v>
      </c>
      <c r="C824" s="14" t="s">
        <v>2315</v>
      </c>
      <c r="D824" s="15" t="s">
        <v>2316</v>
      </c>
    </row>
    <row r="825" spans="1:4">
      <c r="A825" s="26" t="s">
        <v>2317</v>
      </c>
      <c r="B825" s="1" t="s">
        <v>2318</v>
      </c>
      <c r="C825" s="14" t="s">
        <v>2319</v>
      </c>
      <c r="D825" s="15" t="s">
        <v>2320</v>
      </c>
    </row>
    <row r="826" spans="1:4">
      <c r="A826" s="26" t="s">
        <v>2321</v>
      </c>
      <c r="B826" s="1" t="s">
        <v>2322</v>
      </c>
      <c r="C826" s="14" t="s">
        <v>2323</v>
      </c>
      <c r="D826" s="15">
        <v>0.45</v>
      </c>
    </row>
    <row r="827" spans="1:4">
      <c r="A827" s="26" t="s">
        <v>2324</v>
      </c>
      <c r="B827" s="1" t="s">
        <v>2325</v>
      </c>
      <c r="C827" s="14" t="s">
        <v>2326</v>
      </c>
      <c r="D827" s="15">
        <v>0.5</v>
      </c>
    </row>
    <row r="828" spans="1:4">
      <c r="A828" s="26" t="s">
        <v>2327</v>
      </c>
      <c r="B828" s="1" t="s">
        <v>2328</v>
      </c>
      <c r="C828" s="14" t="s">
        <v>2329</v>
      </c>
      <c r="D828" s="15">
        <v>0.95</v>
      </c>
    </row>
    <row r="829" spans="1:4">
      <c r="A829" s="26" t="s">
        <v>2330</v>
      </c>
      <c r="B829" s="1" t="s">
        <v>2331</v>
      </c>
      <c r="C829" s="14" t="s">
        <v>2332</v>
      </c>
      <c r="D829" s="15">
        <v>0.75</v>
      </c>
    </row>
    <row r="830" spans="1:4">
      <c r="A830" s="26" t="s">
        <v>2333</v>
      </c>
      <c r="B830" s="1" t="s">
        <v>2116</v>
      </c>
      <c r="C830" s="14" t="s">
        <v>2334</v>
      </c>
      <c r="D830" s="15">
        <v>0.95</v>
      </c>
    </row>
    <row r="831" spans="1:4">
      <c r="A831" s="26" t="s">
        <v>2335</v>
      </c>
      <c r="B831" s="1" t="s">
        <v>2336</v>
      </c>
      <c r="C831" s="14" t="s">
        <v>2337</v>
      </c>
      <c r="D831" s="15">
        <v>0.15</v>
      </c>
    </row>
    <row r="832" spans="1:4">
      <c r="A832" s="26" t="s">
        <v>2338</v>
      </c>
      <c r="B832" s="1" t="s">
        <v>2339</v>
      </c>
      <c r="C832" s="14" t="s">
        <v>2340</v>
      </c>
      <c r="D832" s="15">
        <v>0.85</v>
      </c>
    </row>
    <row r="833" spans="1:4">
      <c r="A833" s="26" t="s">
        <v>2341</v>
      </c>
      <c r="B833" s="1" t="s">
        <v>2342</v>
      </c>
      <c r="C833" s="14" t="s">
        <v>2343</v>
      </c>
      <c r="D833" s="15">
        <v>0.2</v>
      </c>
    </row>
    <row r="834" spans="1:4">
      <c r="A834" s="26" t="s">
        <v>2344</v>
      </c>
      <c r="B834" s="1" t="s">
        <v>2345</v>
      </c>
      <c r="C834" s="14" t="s">
        <v>2346</v>
      </c>
      <c r="D834" s="15">
        <v>1.05</v>
      </c>
    </row>
    <row r="835" spans="1:4">
      <c r="A835" s="26" t="s">
        <v>2347</v>
      </c>
      <c r="B835" s="1" t="s">
        <v>2348</v>
      </c>
      <c r="C835" s="14" t="s">
        <v>2349</v>
      </c>
      <c r="D835" s="15">
        <v>0.25</v>
      </c>
    </row>
    <row r="836" spans="1:4">
      <c r="A836" s="26" t="s">
        <v>2350</v>
      </c>
      <c r="B836" s="1" t="s">
        <v>2351</v>
      </c>
      <c r="C836" s="14" t="s">
        <v>2352</v>
      </c>
      <c r="D836" s="15">
        <v>0.15</v>
      </c>
    </row>
    <row r="837" spans="1:4">
      <c r="A837" s="26" t="s">
        <v>2353</v>
      </c>
      <c r="B837" s="1" t="s">
        <v>2354</v>
      </c>
      <c r="C837" s="14" t="s">
        <v>2355</v>
      </c>
      <c r="D837" s="15">
        <v>0.8</v>
      </c>
    </row>
    <row r="838" spans="1:4">
      <c r="A838" s="26" t="s">
        <v>2356</v>
      </c>
      <c r="B838" s="1" t="s">
        <v>2357</v>
      </c>
      <c r="C838" s="14" t="s">
        <v>2358</v>
      </c>
      <c r="D838" s="15" t="s">
        <v>2359</v>
      </c>
    </row>
    <row r="839" spans="1:4">
      <c r="A839" s="26" t="s">
        <v>2360</v>
      </c>
      <c r="B839" s="1" t="s">
        <v>2361</v>
      </c>
      <c r="C839" s="14" t="s">
        <v>2362</v>
      </c>
      <c r="D839" s="15">
        <v>0.95</v>
      </c>
    </row>
    <row r="840" spans="1:4">
      <c r="A840" s="26" t="s">
        <v>2363</v>
      </c>
      <c r="B840" s="1" t="s">
        <v>2364</v>
      </c>
      <c r="C840" s="14" t="s">
        <v>2365</v>
      </c>
      <c r="D840" s="15">
        <v>0.95</v>
      </c>
    </row>
    <row r="841" spans="1:4">
      <c r="A841" s="26" t="s">
        <v>2366</v>
      </c>
      <c r="B841" s="1" t="s">
        <v>2367</v>
      </c>
      <c r="C841" s="14" t="s">
        <v>2368</v>
      </c>
      <c r="D841" s="15">
        <v>0.2</v>
      </c>
    </row>
    <row r="842" spans="1:4">
      <c r="A842" s="26" t="s">
        <v>2369</v>
      </c>
      <c r="B842" s="1" t="s">
        <v>2370</v>
      </c>
      <c r="C842" s="14" t="s">
        <v>2371</v>
      </c>
      <c r="D842" s="15">
        <v>0.7</v>
      </c>
    </row>
    <row r="843" spans="1:4">
      <c r="A843" s="26" t="s">
        <v>2372</v>
      </c>
      <c r="B843" s="1" t="s">
        <v>2373</v>
      </c>
      <c r="C843" s="14" t="s">
        <v>2374</v>
      </c>
      <c r="D843" s="15">
        <v>0.5</v>
      </c>
    </row>
    <row r="844" spans="1:4">
      <c r="A844" s="26" t="s">
        <v>2375</v>
      </c>
      <c r="B844" s="1" t="s">
        <v>2376</v>
      </c>
      <c r="C844" s="14" t="s">
        <v>2377</v>
      </c>
      <c r="D844" s="15" t="s">
        <v>2378</v>
      </c>
    </row>
    <row r="845" spans="1:4">
      <c r="A845" s="26" t="s">
        <v>2379</v>
      </c>
      <c r="B845" s="1" t="s">
        <v>2380</v>
      </c>
      <c r="C845" s="14" t="s">
        <v>2381</v>
      </c>
      <c r="D845" s="15">
        <v>0.95</v>
      </c>
    </row>
    <row r="846" spans="1:4">
      <c r="A846" s="26" t="s">
        <v>2382</v>
      </c>
      <c r="B846" s="1" t="s">
        <v>2383</v>
      </c>
      <c r="C846" s="14" t="s">
        <v>2384</v>
      </c>
      <c r="D846" s="15" t="s">
        <v>2385</v>
      </c>
    </row>
    <row r="847" spans="1:4">
      <c r="A847" s="26" t="s">
        <v>2386</v>
      </c>
      <c r="B847" s="1" t="s">
        <v>2387</v>
      </c>
      <c r="C847" s="14" t="s">
        <v>2388</v>
      </c>
      <c r="D847" s="15" t="s">
        <v>2389</v>
      </c>
    </row>
    <row r="848" spans="1:4">
      <c r="A848" s="26" t="s">
        <v>2390</v>
      </c>
      <c r="B848" s="1" t="s">
        <v>2391</v>
      </c>
      <c r="C848" s="14" t="s">
        <v>2392</v>
      </c>
      <c r="D848" s="15" t="s">
        <v>2393</v>
      </c>
    </row>
    <row r="849" spans="1:4">
      <c r="A849" s="26" t="s">
        <v>2394</v>
      </c>
      <c r="B849" s="1" t="s">
        <v>2394</v>
      </c>
      <c r="C849" s="14">
        <v>501106</v>
      </c>
      <c r="D849" s="15">
        <v>0.75</v>
      </c>
    </row>
    <row r="850" spans="1:4">
      <c r="A850" s="26" t="s">
        <v>2395</v>
      </c>
      <c r="B850" s="1" t="s">
        <v>2395</v>
      </c>
      <c r="C850" s="14">
        <v>477001</v>
      </c>
      <c r="D850" s="15">
        <v>0.55000000000000004</v>
      </c>
    </row>
    <row r="851" spans="1:4">
      <c r="A851" s="26" t="s">
        <v>2396</v>
      </c>
      <c r="B851" s="1" t="s">
        <v>2396</v>
      </c>
      <c r="C851" s="14">
        <v>477002</v>
      </c>
      <c r="D851" s="15">
        <v>0.55000000000000004</v>
      </c>
    </row>
    <row r="852" spans="1:4">
      <c r="A852" s="26" t="s">
        <v>2397</v>
      </c>
      <c r="B852" s="1" t="s">
        <v>2397</v>
      </c>
      <c r="C852" s="14">
        <v>477003</v>
      </c>
      <c r="D852" s="15">
        <v>0.55000000000000004</v>
      </c>
    </row>
    <row r="853" spans="1:4">
      <c r="A853" s="26" t="s">
        <v>2398</v>
      </c>
      <c r="B853" s="1" t="s">
        <v>2398</v>
      </c>
      <c r="C853" s="14">
        <v>906933</v>
      </c>
      <c r="D853" s="15">
        <v>0.5</v>
      </c>
    </row>
    <row r="854" spans="1:4">
      <c r="A854" s="26" t="s">
        <v>2399</v>
      </c>
      <c r="B854" s="1" t="s">
        <v>2399</v>
      </c>
      <c r="C854" s="14">
        <v>903719</v>
      </c>
      <c r="D854" s="15">
        <v>0.5</v>
      </c>
    </row>
    <row r="855" spans="1:4">
      <c r="A855" s="26" t="s">
        <v>2400</v>
      </c>
      <c r="B855" s="1" t="s">
        <v>2401</v>
      </c>
      <c r="C855" s="14">
        <v>920800</v>
      </c>
      <c r="D855" s="15">
        <v>3.8</v>
      </c>
    </row>
    <row r="856" spans="1:4">
      <c r="A856" s="26" t="s">
        <v>2402</v>
      </c>
      <c r="B856" s="1" t="s">
        <v>2402</v>
      </c>
      <c r="C856" s="14">
        <v>508385</v>
      </c>
      <c r="D856" s="15">
        <v>0.55000000000000004</v>
      </c>
    </row>
    <row r="857" spans="1:4">
      <c r="A857" s="26" t="s">
        <v>2403</v>
      </c>
      <c r="B857" s="1" t="s">
        <v>2403</v>
      </c>
      <c r="C857" s="14">
        <v>508958</v>
      </c>
      <c r="D857" s="15">
        <v>0.55000000000000004</v>
      </c>
    </row>
    <row r="858" spans="1:4">
      <c r="C858" s="14">
        <v>508957</v>
      </c>
      <c r="D858" s="15">
        <v>0.4</v>
      </c>
    </row>
    <row r="859" spans="1:4">
      <c r="C859" s="14">
        <v>508958</v>
      </c>
    </row>
  </sheetData>
  <autoFilter ref="C1:C859" xr:uid="{F8F03228-86E5-41CD-BB00-0E6F6B22766F}"/>
  <phoneticPr fontId="0" type="noConversion"/>
  <pageMargins left="0.75" right="0.75" top="0.25" bottom="0.25" header="0" footer="0"/>
  <pageSetup fitToHeight="1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4AE14A5A2CC84DA390E75A7806664B" ma:contentTypeVersion="3" ma:contentTypeDescription="Create a new document." ma:contentTypeScope="" ma:versionID="be19c10daa767aedcde2ecfb3b36a297">
  <xsd:schema xmlns:xsd="http://www.w3.org/2001/XMLSchema" xmlns:xs="http://www.w3.org/2001/XMLSchema" xmlns:p="http://schemas.microsoft.com/office/2006/metadata/properties" xmlns:ns2="35d0bcdc-b7d6-4cbc-9907-39dd42710530" targetNamespace="http://schemas.microsoft.com/office/2006/metadata/properties" ma:root="true" ma:fieldsID="ef533501d46bb180929aff07a3153581" ns2:_="">
    <xsd:import namespace="35d0bcdc-b7d6-4cbc-9907-39dd427105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d0bcdc-b7d6-4cbc-9907-39dd42710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529AA2-65AB-4FF9-95ED-3AFB82A43A2F}"/>
</file>

<file path=customXml/itemProps2.xml><?xml version="1.0" encoding="utf-8"?>
<ds:datastoreItem xmlns:ds="http://schemas.openxmlformats.org/officeDocument/2006/customXml" ds:itemID="{5161E8B9-4C93-4649-A1F4-31F7CFDD0E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Elise Kosturos</dc:creator>
  <cp:keywords/>
  <dc:description/>
  <cp:lastModifiedBy/>
  <cp:revision/>
  <dcterms:created xsi:type="dcterms:W3CDTF">2010-04-13T22:18:49Z</dcterms:created>
  <dcterms:modified xsi:type="dcterms:W3CDTF">2026-09-21T22:39:17Z</dcterms:modified>
  <cp:category/>
  <cp:contentStatus/>
</cp:coreProperties>
</file>